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rendra\NARENDRA\FORMATS\TIMESHEET FORMATs\"/>
    </mc:Choice>
  </mc:AlternateContent>
  <xr:revisionPtr revIDLastSave="0" documentId="13_ncr:1_{5746D24D-B55D-4A71-9AED-F18530F30C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ct - 2024" sheetId="45" r:id="rId1"/>
    <sheet name="TIme Data" sheetId="46" state="hidden" r:id="rId2"/>
    <sheet name="July -2024" sheetId="42" state="hidden" r:id="rId3"/>
    <sheet name="June 2024" sheetId="41" state="hidden" r:id="rId4"/>
    <sheet name="May 2024" sheetId="40" state="hidden" r:id="rId5"/>
    <sheet name="April 2024" sheetId="39" state="hidden" r:id="rId6"/>
    <sheet name="March 2024" sheetId="38" state="hidden" r:id="rId7"/>
    <sheet name="Feb - 2024" sheetId="37" state="hidden" r:id="rId8"/>
    <sheet name="Jan - 2024" sheetId="36" state="hidden" r:id="rId9"/>
    <sheet name="Dec - 2023" sheetId="34" state="hidden" r:id="rId10"/>
    <sheet name="Nov 2023" sheetId="33" state="hidden" r:id="rId11"/>
    <sheet name="Oct - 2023" sheetId="32" state="hidden" r:id="rId12"/>
    <sheet name="Sept - 2023" sheetId="31" state="hidden" r:id="rId13"/>
    <sheet name="August - 2023" sheetId="29" state="hidden" r:id="rId14"/>
    <sheet name="July - 2023" sheetId="28" state="hidden" r:id="rId15"/>
    <sheet name="June - 2023" sheetId="27" state="hidden" r:id="rId16"/>
    <sheet name="May - 2023" sheetId="26" state="hidden" r:id="rId17"/>
    <sheet name="April - 2023" sheetId="25" state="hidden" r:id="rId18"/>
    <sheet name="March - 2023" sheetId="24" state="hidden" r:id="rId19"/>
    <sheet name="Feb -2023" sheetId="23" state="hidden" r:id="rId20"/>
    <sheet name="Jan-2023" sheetId="22" state="hidden" r:id="rId21"/>
    <sheet name="Dec -2022" sheetId="21" state="hidden" r:id="rId22"/>
    <sheet name="Nov -2022" sheetId="20" state="hidden" r:id="rId23"/>
    <sheet name="Oct- 2022" sheetId="19" state="hidden" r:id="rId24"/>
    <sheet name="Sept - 2022" sheetId="18" state="hidden" r:id="rId25"/>
    <sheet name="August-2022" sheetId="17" state="hidden" r:id="rId26"/>
    <sheet name="July-2022" sheetId="16" state="hidden" r:id="rId27"/>
    <sheet name="June-2022" sheetId="14" state="hidden" r:id="rId28"/>
    <sheet name="Sheet1" sheetId="35" state="hidden" r:id="rId29"/>
    <sheet name="May-2022" sheetId="13" state="hidden" r:id="rId30"/>
    <sheet name="April-2022" sheetId="12" state="hidden" r:id="rId31"/>
    <sheet name="March-2022" sheetId="11" state="hidden" r:id="rId32"/>
    <sheet name="Feb-2022" sheetId="10" state="hidden" r:id="rId33"/>
    <sheet name="Jan-2022" sheetId="9" state="hidden" r:id="rId34"/>
    <sheet name="Dec-2021" sheetId="8" state="hidden" r:id="rId35"/>
    <sheet name="Nov_2021" sheetId="7" state="hidden" r:id="rId36"/>
    <sheet name="Oct 2021" sheetId="5" state="hidden" r:id="rId37"/>
    <sheet name="Sep 2021" sheetId="4" state="hidden" r:id="rId38"/>
    <sheet name="Aug 2021" sheetId="1" state="hidden" r:id="rId39"/>
  </sheets>
  <calcPr calcId="191029"/>
</workbook>
</file>

<file path=xl/calcChain.xml><?xml version="1.0" encoding="utf-8"?>
<calcChain xmlns="http://schemas.openxmlformats.org/spreadsheetml/2006/main">
  <c r="M35" i="42" l="1"/>
  <c r="M34" i="42"/>
  <c r="M28" i="42"/>
  <c r="M24" i="42"/>
  <c r="M21" i="42"/>
  <c r="M15" i="42"/>
  <c r="M17" i="42"/>
  <c r="M14" i="42"/>
  <c r="M6" i="42"/>
  <c r="M31" i="42"/>
  <c r="M22" i="42"/>
  <c r="M10" i="42"/>
  <c r="M8" i="42"/>
  <c r="M31" i="41"/>
  <c r="M32" i="41"/>
  <c r="M16" i="41"/>
  <c r="M15" i="41"/>
  <c r="M10" i="41"/>
  <c r="M8" i="41"/>
  <c r="M9" i="41"/>
  <c r="M33" i="41"/>
  <c r="M29" i="41"/>
  <c r="M22" i="41"/>
  <c r="M19" i="41"/>
  <c r="M11" i="41"/>
  <c r="M34" i="40"/>
  <c r="M35" i="40"/>
  <c r="M25" i="40"/>
  <c r="M19" i="40"/>
  <c r="M14" i="40"/>
  <c r="M11" i="40"/>
  <c r="M7" i="40"/>
  <c r="M33" i="40"/>
  <c r="M29" i="40"/>
  <c r="M28" i="40"/>
  <c r="M23" i="40"/>
  <c r="M22" i="40"/>
  <c r="M21" i="40"/>
  <c r="M20" i="40"/>
  <c r="M13" i="40"/>
  <c r="M35" i="39"/>
  <c r="M23" i="39"/>
  <c r="M21" i="39"/>
  <c r="M22" i="39"/>
  <c r="M28" i="39"/>
  <c r="M29" i="39"/>
  <c r="M30" i="39"/>
  <c r="M13" i="39"/>
  <c r="M15" i="39"/>
  <c r="M33" i="39"/>
  <c r="M32" i="39"/>
  <c r="M20" i="39"/>
  <c r="M16" i="39"/>
  <c r="M33" i="38"/>
  <c r="M20" i="38"/>
  <c r="M19" i="38"/>
  <c r="M23" i="38"/>
  <c r="M16" i="38"/>
  <c r="M9" i="38"/>
  <c r="M32" i="38"/>
  <c r="M31" i="38"/>
  <c r="M26" i="38"/>
  <c r="M25" i="38"/>
  <c r="M24" i="38"/>
  <c r="M17" i="38"/>
  <c r="M10" i="38"/>
  <c r="M32" i="37"/>
  <c r="M24" i="37"/>
  <c r="M25" i="37"/>
  <c r="M26" i="37"/>
  <c r="M27" i="37"/>
  <c r="M18" i="37"/>
  <c r="M19" i="37"/>
  <c r="M10" i="37"/>
  <c r="M11" i="37"/>
  <c r="M12" i="37"/>
  <c r="M13" i="37"/>
  <c r="M6" i="37"/>
  <c r="M7" i="37"/>
  <c r="M31" i="37"/>
  <c r="M28" i="37"/>
  <c r="M17" i="37"/>
  <c r="M14" i="37"/>
  <c r="M36" i="36"/>
  <c r="M35" i="36"/>
  <c r="M28" i="36"/>
  <c r="M29" i="36"/>
  <c r="M22" i="36"/>
  <c r="M14" i="36"/>
  <c r="M15" i="36"/>
  <c r="M8" i="36"/>
  <c r="M7" i="36"/>
  <c r="M34" i="36"/>
  <c r="M31" i="36"/>
  <c r="M30" i="36"/>
  <c r="M27" i="36"/>
  <c r="M24" i="36"/>
  <c r="M23" i="36"/>
  <c r="M17" i="36"/>
  <c r="M16" i="36"/>
  <c r="M13" i="36"/>
  <c r="M9" i="36"/>
  <c r="M9" i="34"/>
  <c r="M10" i="34"/>
  <c r="M34" i="34"/>
  <c r="M33" i="34"/>
  <c r="M32" i="34"/>
  <c r="M31" i="34"/>
  <c r="M30" i="34"/>
  <c r="M27" i="34"/>
  <c r="M26" i="34"/>
  <c r="M25" i="34"/>
  <c r="M24" i="34"/>
  <c r="M23" i="34"/>
  <c r="M20" i="34"/>
  <c r="M19" i="34"/>
  <c r="M18" i="34"/>
  <c r="M17" i="34"/>
  <c r="M16" i="34"/>
  <c r="M13" i="34"/>
  <c r="M12" i="34"/>
  <c r="M11" i="34"/>
  <c r="M6" i="34"/>
  <c r="M8" i="33"/>
  <c r="M9" i="33"/>
  <c r="M10" i="33"/>
  <c r="M11" i="33"/>
  <c r="M12" i="33"/>
  <c r="M13" i="33"/>
  <c r="M14" i="33"/>
  <c r="M15" i="33"/>
  <c r="M16" i="33"/>
  <c r="M17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31" i="33"/>
  <c r="M32" i="33"/>
  <c r="M33" i="33"/>
  <c r="M34" i="33"/>
  <c r="M6" i="33"/>
  <c r="M7" i="33"/>
  <c r="M36" i="32"/>
  <c r="M35" i="32"/>
  <c r="M21" i="32"/>
  <c r="M22" i="32"/>
  <c r="M14" i="32"/>
  <c r="M32" i="32"/>
  <c r="M31" i="32"/>
  <c r="M29" i="32"/>
  <c r="M25" i="32"/>
  <c r="M24" i="32"/>
  <c r="M23" i="32"/>
  <c r="M18" i="32"/>
  <c r="M17" i="32"/>
  <c r="M16" i="32"/>
  <c r="M15" i="32"/>
  <c r="M11" i="32"/>
  <c r="M10" i="32"/>
  <c r="M9" i="32"/>
  <c r="M8" i="32"/>
  <c r="M31" i="31"/>
  <c r="M32" i="31"/>
  <c r="M17" i="31"/>
  <c r="M18" i="31"/>
  <c r="M19" i="31"/>
  <c r="M20" i="31"/>
  <c r="M24" i="31"/>
  <c r="M10" i="31"/>
  <c r="M11" i="31"/>
  <c r="M6" i="31"/>
  <c r="M9" i="31"/>
  <c r="M12" i="31"/>
  <c r="M13" i="31"/>
  <c r="M16" i="31"/>
  <c r="M25" i="31"/>
  <c r="M26" i="31"/>
  <c r="M27" i="31"/>
  <c r="M30" i="31"/>
  <c r="M33" i="31"/>
  <c r="M34" i="31"/>
  <c r="M26" i="29"/>
  <c r="M12" i="29"/>
  <c r="M13" i="29"/>
  <c r="M14" i="29"/>
  <c r="M15" i="29"/>
  <c r="M16" i="29"/>
  <c r="M19" i="29"/>
  <c r="M21" i="29"/>
  <c r="M22" i="29"/>
  <c r="M23" i="29"/>
  <c r="M24" i="29"/>
  <c r="M25" i="29"/>
  <c r="M27" i="29"/>
  <c r="M28" i="29"/>
  <c r="M29" i="29"/>
  <c r="M30" i="29"/>
  <c r="M33" i="29"/>
  <c r="M34" i="29"/>
  <c r="M35" i="29"/>
  <c r="M36" i="29"/>
  <c r="M7" i="29"/>
  <c r="M8" i="29"/>
  <c r="M9" i="29"/>
  <c r="M6" i="29"/>
  <c r="M36" i="28"/>
  <c r="M15" i="28"/>
  <c r="M16" i="28"/>
  <c r="M17" i="28"/>
  <c r="M18" i="28"/>
  <c r="M22" i="28"/>
  <c r="M23" i="28"/>
  <c r="M26" i="28"/>
  <c r="M29" i="28"/>
  <c r="M30" i="28"/>
  <c r="M31" i="28"/>
  <c r="M33" i="28"/>
  <c r="M12" i="28"/>
  <c r="M11" i="28"/>
  <c r="M10" i="28"/>
  <c r="M9" i="28"/>
  <c r="M8" i="28"/>
  <c r="M32" i="27"/>
  <c r="M33" i="27"/>
  <c r="M34" i="27"/>
  <c r="M35" i="27"/>
  <c r="M31" i="27"/>
  <c r="M25" i="27"/>
  <c r="M26" i="27"/>
  <c r="M27" i="27"/>
  <c r="M28" i="27"/>
  <c r="M24" i="27"/>
  <c r="M18" i="27"/>
  <c r="M19" i="27"/>
  <c r="M20" i="27"/>
  <c r="M21" i="27"/>
  <c r="M17" i="27"/>
  <c r="M13" i="27"/>
  <c r="M7" i="27"/>
  <c r="M6" i="27"/>
  <c r="M33" i="26"/>
  <c r="M30" i="26"/>
  <c r="M20" i="26"/>
  <c r="M21" i="26"/>
  <c r="M22" i="26"/>
  <c r="M23" i="26"/>
  <c r="M24" i="26"/>
  <c r="M27" i="26"/>
  <c r="M28" i="26"/>
  <c r="M31" i="26"/>
  <c r="M34" i="26"/>
  <c r="M35" i="26"/>
  <c r="M36" i="26"/>
  <c r="M17" i="26"/>
  <c r="M11" i="26"/>
  <c r="M16" i="26"/>
  <c r="M15" i="26"/>
  <c r="M10" i="26"/>
  <c r="M13" i="26"/>
  <c r="M14" i="26"/>
  <c r="M7" i="26"/>
  <c r="M8" i="26"/>
  <c r="M9" i="26"/>
  <c r="M6" i="26"/>
  <c r="M31" i="25"/>
  <c r="M30" i="25"/>
  <c r="M29" i="25"/>
  <c r="M26" i="25"/>
  <c r="M25" i="25"/>
  <c r="M24" i="25"/>
  <c r="M23" i="25"/>
  <c r="M22" i="25"/>
  <c r="M32" i="25"/>
  <c r="M33" i="25"/>
  <c r="M36" i="25"/>
  <c r="M12" i="25"/>
  <c r="M11" i="25"/>
  <c r="M10" i="25"/>
  <c r="M9" i="25"/>
  <c r="M18" i="25"/>
  <c r="M17" i="25"/>
  <c r="M16" i="25"/>
  <c r="M15" i="25"/>
  <c r="M19" i="25"/>
  <c r="M8" i="25"/>
  <c r="M36" i="24"/>
  <c r="M35" i="24"/>
  <c r="M34" i="24"/>
  <c r="M7" i="24"/>
  <c r="M6" i="24"/>
  <c r="M21" i="24"/>
  <c r="M22" i="24"/>
  <c r="M20" i="24"/>
  <c r="M19" i="24"/>
  <c r="M18" i="24"/>
  <c r="M33" i="24"/>
  <c r="M32" i="24"/>
  <c r="M29" i="24"/>
  <c r="M28" i="24"/>
  <c r="M27" i="24"/>
  <c r="M26" i="24"/>
  <c r="M25" i="24"/>
  <c r="M15" i="24"/>
  <c r="M14" i="24"/>
  <c r="M13" i="24"/>
  <c r="M12" i="24"/>
  <c r="M11" i="24"/>
  <c r="M8" i="24"/>
  <c r="M33" i="23"/>
  <c r="M32" i="23"/>
  <c r="M26" i="23"/>
  <c r="M27" i="23"/>
  <c r="M28" i="23"/>
  <c r="M29" i="23"/>
  <c r="M25" i="23"/>
  <c r="M6" i="23"/>
  <c r="M19" i="23"/>
  <c r="M20" i="23"/>
  <c r="M21" i="23"/>
  <c r="M22" i="23"/>
  <c r="M18" i="23"/>
  <c r="M12" i="23"/>
  <c r="M13" i="23"/>
  <c r="M14" i="23"/>
  <c r="M15" i="23"/>
  <c r="M11" i="23"/>
  <c r="M7" i="23"/>
  <c r="M8" i="23"/>
  <c r="M36" i="22"/>
  <c r="M8" i="22"/>
  <c r="M9" i="22"/>
  <c r="M7" i="22"/>
  <c r="M30" i="22"/>
  <c r="M29" i="22"/>
  <c r="M28" i="22"/>
  <c r="M18" i="22"/>
  <c r="M17" i="22"/>
  <c r="M16" i="22"/>
  <c r="M15" i="22"/>
  <c r="M14" i="22"/>
  <c r="M11" i="22"/>
  <c r="M10" i="22"/>
  <c r="M34" i="21"/>
  <c r="M33" i="21"/>
  <c r="M28" i="21"/>
  <c r="M17" i="21"/>
  <c r="M6" i="21"/>
  <c r="M18" i="21"/>
  <c r="M12" i="21"/>
  <c r="M13" i="21"/>
  <c r="M14" i="21"/>
  <c r="M15" i="21"/>
  <c r="M16" i="21"/>
  <c r="M10" i="21"/>
  <c r="M11" i="21"/>
  <c r="M35" i="21"/>
  <c r="M32" i="21"/>
  <c r="M31" i="21"/>
  <c r="M30" i="21"/>
  <c r="M29" i="21"/>
  <c r="M27" i="21"/>
  <c r="M26" i="21"/>
  <c r="M25" i="21"/>
  <c r="M24" i="21"/>
  <c r="M23" i="21"/>
  <c r="M22" i="21"/>
  <c r="M21" i="21"/>
  <c r="M20" i="21"/>
  <c r="M19" i="21"/>
  <c r="M7" i="21"/>
  <c r="M36" i="19"/>
  <c r="M31" i="19"/>
  <c r="M32" i="19"/>
  <c r="M33" i="19"/>
  <c r="M30" i="19"/>
  <c r="M26" i="19"/>
  <c r="M25" i="19"/>
  <c r="M24" i="19"/>
  <c r="M23" i="19"/>
  <c r="M22" i="19"/>
  <c r="M16" i="19"/>
  <c r="M17" i="19"/>
  <c r="M18" i="19"/>
  <c r="M19" i="19"/>
  <c r="M15" i="19"/>
  <c r="M9" i="19"/>
  <c r="M8" i="19"/>
  <c r="M12" i="19"/>
  <c r="M11" i="19"/>
  <c r="M10" i="19"/>
  <c r="M33" i="18"/>
  <c r="M34" i="18"/>
  <c r="M32" i="18"/>
  <c r="M31" i="18"/>
  <c r="M28" i="18"/>
  <c r="M27" i="18"/>
  <c r="M26" i="18"/>
  <c r="M25" i="18"/>
  <c r="M24" i="18"/>
  <c r="M21" i="18"/>
  <c r="M20" i="18"/>
  <c r="M19" i="18"/>
  <c r="M18" i="18"/>
  <c r="M17" i="18"/>
  <c r="M13" i="18"/>
  <c r="M14" i="18"/>
  <c r="M12" i="18"/>
  <c r="M11" i="18"/>
  <c r="M10" i="18"/>
  <c r="M7" i="18"/>
  <c r="M6" i="18"/>
  <c r="M35" i="17"/>
  <c r="M34" i="17"/>
  <c r="M31" i="17"/>
  <c r="M30" i="17"/>
  <c r="M29" i="17"/>
  <c r="M28" i="17"/>
  <c r="M27" i="17"/>
  <c r="M24" i="17"/>
  <c r="M21" i="17"/>
  <c r="M22" i="17"/>
  <c r="M20" i="17"/>
  <c r="M23" i="17"/>
  <c r="M17" i="17"/>
  <c r="M13" i="17"/>
  <c r="M7" i="17"/>
  <c r="M8" i="17"/>
  <c r="M9" i="17"/>
  <c r="M10" i="17"/>
  <c r="M6" i="17"/>
  <c r="M31" i="16"/>
  <c r="M32" i="16"/>
  <c r="M33" i="16"/>
  <c r="M34" i="16"/>
  <c r="M30" i="16"/>
  <c r="M24" i="16"/>
  <c r="M25" i="16"/>
  <c r="M26" i="16"/>
  <c r="M27" i="16"/>
  <c r="M23" i="16"/>
  <c r="M17" i="16"/>
  <c r="M18" i="16"/>
  <c r="M16" i="16"/>
  <c r="M20" i="16"/>
  <c r="M19" i="16"/>
  <c r="M6" i="16"/>
  <c r="M13" i="16"/>
  <c r="M12" i="16"/>
  <c r="M11" i="16"/>
  <c r="M10" i="16"/>
  <c r="M9" i="16"/>
  <c r="M8" i="16"/>
  <c r="M7" i="16"/>
  <c r="M35" i="14"/>
  <c r="M34" i="14"/>
  <c r="M25" i="14"/>
  <c r="M28" i="14"/>
  <c r="M27" i="14"/>
  <c r="M26" i="14"/>
  <c r="M33" i="14"/>
  <c r="M32" i="14"/>
  <c r="M29" i="14"/>
  <c r="M22" i="14"/>
  <c r="M21" i="14"/>
  <c r="M20" i="14"/>
  <c r="M19" i="14"/>
  <c r="M18" i="14"/>
  <c r="M12" i="14"/>
  <c r="M13" i="14"/>
  <c r="M14" i="14"/>
  <c r="M11" i="14"/>
  <c r="M7" i="14"/>
  <c r="M8" i="14"/>
  <c r="M6" i="14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6" i="13"/>
  <c r="M7" i="13"/>
  <c r="M23" i="12"/>
  <c r="M2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4" i="12"/>
  <c r="M25" i="12"/>
  <c r="M27" i="12"/>
  <c r="M28" i="12"/>
  <c r="M29" i="12"/>
  <c r="M30" i="12"/>
  <c r="M31" i="12"/>
  <c r="M32" i="12"/>
  <c r="M33" i="12"/>
  <c r="M34" i="12"/>
  <c r="M6" i="12"/>
  <c r="M12" i="11"/>
  <c r="M7" i="11"/>
  <c r="M8" i="11"/>
  <c r="M9" i="11"/>
  <c r="M10" i="11"/>
  <c r="M11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6" i="11"/>
  <c r="M14" i="10" l="1"/>
  <c r="M15" i="10"/>
  <c r="M16" i="10"/>
  <c r="M17" i="10"/>
  <c r="M33" i="10"/>
  <c r="M32" i="10"/>
  <c r="M31" i="10"/>
  <c r="M30" i="10"/>
  <c r="M29" i="10"/>
  <c r="M28" i="10"/>
  <c r="M27" i="10"/>
  <c r="M26" i="10"/>
  <c r="M24" i="10"/>
  <c r="M23" i="10"/>
  <c r="M22" i="10"/>
  <c r="M21" i="10"/>
  <c r="M20" i="10"/>
  <c r="M19" i="10"/>
  <c r="M13" i="10"/>
  <c r="M12" i="10"/>
  <c r="M10" i="10"/>
  <c r="M9" i="10"/>
  <c r="M8" i="10"/>
  <c r="M7" i="10"/>
  <c r="M6" i="10"/>
  <c r="K28" i="9"/>
  <c r="L28" i="9" s="1"/>
  <c r="M28" i="9" s="1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9" i="9"/>
  <c r="M30" i="9"/>
  <c r="M31" i="9"/>
  <c r="M32" i="9"/>
  <c r="M33" i="9"/>
  <c r="M34" i="9"/>
  <c r="M35" i="9"/>
  <c r="M36" i="9"/>
  <c r="M7" i="9"/>
  <c r="M8" i="9"/>
  <c r="M9" i="9"/>
  <c r="M10" i="9"/>
  <c r="M11" i="9"/>
  <c r="M12" i="9"/>
  <c r="M13" i="9"/>
  <c r="M14" i="9"/>
  <c r="M6" i="9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6" i="8"/>
  <c r="M35" i="7"/>
  <c r="M34" i="7"/>
  <c r="M27" i="7"/>
  <c r="M32" i="7"/>
  <c r="M31" i="7"/>
  <c r="M30" i="7"/>
  <c r="M29" i="7"/>
  <c r="M28" i="7"/>
  <c r="M25" i="7"/>
  <c r="M24" i="7"/>
  <c r="M23" i="7"/>
  <c r="M22" i="7"/>
  <c r="M21" i="7"/>
  <c r="M20" i="7"/>
  <c r="M18" i="7"/>
  <c r="M16" i="7"/>
  <c r="M17" i="7"/>
  <c r="M14" i="7"/>
  <c r="M13" i="7"/>
  <c r="M15" i="7"/>
  <c r="M11" i="7"/>
  <c r="M10" i="7"/>
  <c r="M8" i="7"/>
  <c r="M7" i="7"/>
  <c r="M4" i="7"/>
  <c r="M6" i="7"/>
  <c r="L34" i="5"/>
  <c r="L4" i="5"/>
  <c r="L6" i="5"/>
  <c r="L9" i="5"/>
  <c r="L10" i="5"/>
  <c r="L11" i="5"/>
  <c r="L12" i="5"/>
  <c r="L13" i="5"/>
  <c r="L14" i="5"/>
  <c r="L16" i="5"/>
  <c r="L17" i="5"/>
  <c r="L18" i="5"/>
  <c r="L19" i="5"/>
  <c r="L23" i="5"/>
  <c r="L24" i="5"/>
  <c r="L25" i="5"/>
  <c r="L26" i="5"/>
  <c r="L27" i="5"/>
  <c r="L30" i="5"/>
  <c r="L31" i="5"/>
  <c r="L32" i="5"/>
  <c r="L33" i="5"/>
  <c r="L34" i="4"/>
  <c r="L35" i="4"/>
  <c r="L33" i="4"/>
  <c r="L32" i="4"/>
  <c r="L6" i="4"/>
  <c r="L7" i="4"/>
  <c r="L8" i="4"/>
  <c r="L11" i="4"/>
  <c r="L12" i="4"/>
  <c r="L13" i="4"/>
  <c r="L14" i="4"/>
  <c r="L18" i="4"/>
  <c r="L19" i="4"/>
  <c r="L20" i="4"/>
  <c r="L21" i="4"/>
  <c r="L22" i="4"/>
  <c r="L25" i="4"/>
  <c r="L26" i="4"/>
  <c r="L27" i="4"/>
  <c r="L28" i="4"/>
  <c r="L29" i="4"/>
  <c r="L30" i="4"/>
  <c r="L15" i="4"/>
</calcChain>
</file>

<file path=xl/sharedStrings.xml><?xml version="1.0" encoding="utf-8"?>
<sst xmlns="http://schemas.openxmlformats.org/spreadsheetml/2006/main" count="2593" uniqueCount="763">
  <si>
    <t>Employee Info</t>
  </si>
  <si>
    <t>Employee Name</t>
  </si>
  <si>
    <t>Employee Id</t>
  </si>
  <si>
    <t>Department</t>
  </si>
  <si>
    <t>Work Timeline</t>
  </si>
  <si>
    <t>InTime</t>
  </si>
  <si>
    <t>OutTime</t>
  </si>
  <si>
    <t>Date</t>
  </si>
  <si>
    <t>Designation</t>
  </si>
  <si>
    <t>Total Hours</t>
  </si>
  <si>
    <t>Weekly Time Sheet (September-2021)</t>
  </si>
  <si>
    <t>9.30AM</t>
  </si>
  <si>
    <t>7.30PM</t>
  </si>
  <si>
    <t>KOFAX</t>
  </si>
  <si>
    <t>Involved in Installation of KAPOW and Completed 12th Module In KC  Project Deployment monitoring</t>
  </si>
  <si>
    <t>KAPOW Training Class-Practice</t>
  </si>
  <si>
    <t>Your Name</t>
  </si>
  <si>
    <t>Your Designation</t>
  </si>
  <si>
    <t>Your ID</t>
  </si>
  <si>
    <t>Kapow Training Class and Practice</t>
  </si>
  <si>
    <t>Kapow Training Class</t>
  </si>
  <si>
    <t>Weeked</t>
  </si>
  <si>
    <t>Kapow Traing and Practice</t>
  </si>
  <si>
    <t>DA -open txt file and copy data and paste it into excel and save and close the file</t>
  </si>
  <si>
    <t>DA -file fath creation</t>
  </si>
  <si>
    <t>Windows Server Installation</t>
  </si>
  <si>
    <t>SQL server and SSMS installation</t>
  </si>
  <si>
    <t>KTA installation and Documentation</t>
  </si>
  <si>
    <t>Kapow Class and DA Practice</t>
  </si>
  <si>
    <t>Kapow Data Extraction from Different websites</t>
  </si>
  <si>
    <t>Sunday</t>
  </si>
  <si>
    <t>CGR Project testing</t>
  </si>
  <si>
    <t>Worked on DA And Web Scrapinmg</t>
  </si>
  <si>
    <t>Worked on DA and Modules</t>
  </si>
  <si>
    <t>Venkat Reddy Gopu</t>
  </si>
  <si>
    <t>Software Enginner</t>
  </si>
  <si>
    <t>TTDT0024</t>
  </si>
  <si>
    <t>Worked on Txt to Excel DA</t>
  </si>
  <si>
    <t>CGR testing Working on DA</t>
  </si>
  <si>
    <t>Working on CGR and Txt to Excel DA</t>
  </si>
  <si>
    <t>SUNDAY</t>
  </si>
  <si>
    <t>Working on Txt to Excel DA</t>
  </si>
  <si>
    <t>Testing CGR</t>
  </si>
  <si>
    <t>CGR Production and Documentation</t>
  </si>
  <si>
    <t>Worked  on Webservices- GMAIL API</t>
  </si>
  <si>
    <t>Worked on Webservices- GMAIL API- POSTMAN</t>
  </si>
  <si>
    <t>GMAIL API</t>
  </si>
  <si>
    <t>Woked on EMAIL IMPORT Robot</t>
  </si>
  <si>
    <t>Worked on GMAIL API</t>
  </si>
  <si>
    <t>Worked on Sending an email with attachment robot</t>
  </si>
  <si>
    <t xml:space="preserve">Worked on Email robot based on Excel </t>
  </si>
  <si>
    <t>Worked on Jiira, BugZilla, Sharepoint- Resume</t>
  </si>
  <si>
    <t xml:space="preserve">CGR Bot Testing In Dev, and Production </t>
  </si>
  <si>
    <t>Worked on Phoenix Flow Diagram and Resume</t>
  </si>
  <si>
    <t xml:space="preserve">Implimentations in CGR DEV(kill cmd and new type) and Preparation </t>
  </si>
  <si>
    <t xml:space="preserve">Dussehra </t>
  </si>
  <si>
    <t>Worked on STG VPN Connections and Practice</t>
  </si>
  <si>
    <t xml:space="preserve">Worked on CGR final Documentation </t>
  </si>
  <si>
    <t>Worked on STG Environment</t>
  </si>
  <si>
    <t>Worked on STG CMS Robot Creation in Local DS</t>
  </si>
  <si>
    <t>Worked on DA Variables, and replicating the project Documentation steps of STG in local DS</t>
  </si>
  <si>
    <t xml:space="preserve">Woked on CGR Dev project Testing </t>
  </si>
  <si>
    <t>Creating Robot using GMAIL API</t>
  </si>
  <si>
    <t xml:space="preserve">Robott to send an email extracting  emailaddess from excel along with subject </t>
  </si>
  <si>
    <t>Monday</t>
  </si>
  <si>
    <t>Tuesday</t>
  </si>
  <si>
    <t>Wednesday</t>
  </si>
  <si>
    <t>Thursday</t>
  </si>
  <si>
    <t>Friday</t>
  </si>
  <si>
    <t>Saturday</t>
  </si>
  <si>
    <t>Worked on STG Document-Tested with Multiple Scenarios</t>
  </si>
  <si>
    <t>Diwali</t>
  </si>
  <si>
    <t>Worked on Looping the variables and input into CMS</t>
  </si>
  <si>
    <t>Worked on STG in Local RDM</t>
  </si>
  <si>
    <t>Worked on Input variables to CMS Manually and Prepeared notes</t>
  </si>
  <si>
    <t>Worked on Inputing data into CMS using json file</t>
  </si>
  <si>
    <t>Worked on Uploading Attchments to CMS Function-Completed</t>
  </si>
  <si>
    <t xml:space="preserve">Worked on Data Extraction form Phoenix </t>
  </si>
  <si>
    <t xml:space="preserve">Worked on Inputing the Values from Excel </t>
  </si>
  <si>
    <t>Worked on Extacting data from Excel (Phoenix_2_CMS)</t>
  </si>
  <si>
    <t>Worked on Deleting attachments function once the upload attachments is completed</t>
  </si>
  <si>
    <t>Worked on Customer code and Location code inputting into CMS</t>
  </si>
  <si>
    <t xml:space="preserve">Worked on Customer code and Location code </t>
  </si>
  <si>
    <t>Interview &amp;  Testing Extract data from PDF</t>
  </si>
  <si>
    <t>Interview and Modifications in STG</t>
  </si>
  <si>
    <t xml:space="preserve">Worked on Types and Training </t>
  </si>
  <si>
    <t>Worked on STG Documentation</t>
  </si>
  <si>
    <t>Worked onExtraction from Phoenix, Delete file action step, And Training</t>
  </si>
  <si>
    <t>STG Testing, Training, Cx Code</t>
  </si>
  <si>
    <t>STG Robot-1 Testing, Test case preparation, Training</t>
  </si>
  <si>
    <t xml:space="preserve">Training, Worked on Installation of 11.1 </t>
  </si>
  <si>
    <t>02:30pm</t>
  </si>
  <si>
    <t>01:00AM</t>
  </si>
  <si>
    <t xml:space="preserve">Worked on STG Robot-2 Testing </t>
  </si>
  <si>
    <t>Training, and worked on 11.2 version DS</t>
  </si>
  <si>
    <t>Training, Interview, Worked on DAS configuration</t>
  </si>
  <si>
    <t>Wednsday</t>
  </si>
  <si>
    <t>Training and Worked on STG Testing</t>
  </si>
  <si>
    <t>Wroked on CGR Dev Back up restore and Testing</t>
  </si>
  <si>
    <t>CGR Environment Setup, STG Finder Issues</t>
  </si>
  <si>
    <t>Worked on STG Extraction Robot</t>
  </si>
  <si>
    <t>Worked on STG Development -Robot-4(Customer Location Code into CMS)</t>
  </si>
  <si>
    <t>Worked on Json to CMS inputting</t>
  </si>
  <si>
    <t>CGR Environment One note Deployment</t>
  </si>
  <si>
    <t>STG Email Configuration, STG Input file Cx and Location Code changes in Excel file</t>
  </si>
  <si>
    <t xml:space="preserve">CGR -One note Project Export -Configuration </t>
  </si>
  <si>
    <t>Worked on One Note Deployment issue</t>
  </si>
  <si>
    <t>Worked on CGR Environment DAS issues</t>
  </si>
  <si>
    <t>Worked on STG Bug Fixes</t>
  </si>
  <si>
    <t>DA session,STG Bug Fixes</t>
  </si>
  <si>
    <t>Worked on Phoenix to CMS Input Testing</t>
  </si>
  <si>
    <t xml:space="preserve">Training Session,worked on STG </t>
  </si>
  <si>
    <t>Updated Solution Design Document with recent changes</t>
  </si>
  <si>
    <t>Worked On UAT Errors</t>
  </si>
  <si>
    <t>UAT-Changed Beta URL in Project</t>
  </si>
  <si>
    <t>Worked on CGR Environment</t>
  </si>
  <si>
    <t>STG Failure Email Notification</t>
  </si>
  <si>
    <t>STG Archive Issues</t>
  </si>
  <si>
    <t>Worked on UAT Fixes and Testing</t>
  </si>
  <si>
    <t>Worked on New changes- Current Date nd Time -testing</t>
  </si>
  <si>
    <t>Archive DA test Implimentation and testing</t>
  </si>
  <si>
    <t>Archive, And New Implimentations testing and Validation</t>
  </si>
  <si>
    <t>Solution Design and Deploymenyt document review and Testing the Bot</t>
  </si>
  <si>
    <t>STG Testing and Validation</t>
  </si>
  <si>
    <t xml:space="preserve">Initiate session </t>
  </si>
  <si>
    <t>Woked on Initiate session</t>
  </si>
  <si>
    <t>Developing STG in Local machine</t>
  </si>
  <si>
    <t>Created DA servers for Trainees, and testing STG , worked on Enhancements</t>
  </si>
  <si>
    <t>Training, Worked on STG</t>
  </si>
  <si>
    <t>Worked on STG</t>
  </si>
  <si>
    <t>New Year-Saturday</t>
  </si>
  <si>
    <t>STG Deployment in Production</t>
  </si>
  <si>
    <t>Training session-MC, Worked in Local environment</t>
  </si>
  <si>
    <t>Initiate Session, and Bug fixes</t>
  </si>
  <si>
    <t>STG-Production Support-01</t>
  </si>
  <si>
    <t>STG-Production Support-02</t>
  </si>
  <si>
    <t>STG-Production Support-03</t>
  </si>
  <si>
    <t>STG-Production Support-04</t>
  </si>
  <si>
    <t>Chnages in STG-Dev(Log for Extraction), Replicating in Local 11.1</t>
  </si>
  <si>
    <t>Production Support -5</t>
  </si>
  <si>
    <t>Production Support -6, and Bug fixes in STG Dev Environment</t>
  </si>
  <si>
    <t>Prod Support-7, and STG:Implimentation of extracting data from CMS Ocean--- Air Freight</t>
  </si>
  <si>
    <t>Prod Support-8, and Extraction Data from Database</t>
  </si>
  <si>
    <t>Extraction from database without duplicates values</t>
  </si>
  <si>
    <t xml:space="preserve">Case Study Document Preparation&amp;Change Request in STG </t>
  </si>
  <si>
    <t>REPUBLIC DAY-HOLIDAY</t>
  </si>
  <si>
    <t>Extraction from Database</t>
  </si>
  <si>
    <t xml:space="preserve">PONGAL </t>
  </si>
  <si>
    <t>Republic Day</t>
  </si>
  <si>
    <t>New year</t>
  </si>
  <si>
    <t>Training session-Design studio Basics, Health Check robot review , Automatic Backup Robot in 188</t>
  </si>
  <si>
    <t>Training Session,STG-Dev Bot execution running for 26th date Data.STG-Airfreight-Demo Development</t>
  </si>
  <si>
    <t>STG-Deployment, Sanity Testing</t>
  </si>
  <si>
    <t>Monitoring CMS input in Production server</t>
  </si>
  <si>
    <t>Worked on Initiate Session</t>
  </si>
  <si>
    <t>STG- Worked on Change Request CUBE(CBF), Initiate session</t>
  </si>
  <si>
    <t>MC Backup Project in Local Environment</t>
  </si>
  <si>
    <t xml:space="preserve">Converting 11.2 MC as Service </t>
  </si>
  <si>
    <t>initiate session</t>
  </si>
  <si>
    <t>MC Backup Bot ,Implimenting Email notifications for MC Backup</t>
  </si>
  <si>
    <t>STg -Deployement, DA Session to Trainees</t>
  </si>
  <si>
    <t>Case Study for MC Backup, PTP Document review and checking the logins and links in Dev Server</t>
  </si>
  <si>
    <t>Production Support, PTP Document review</t>
  </si>
  <si>
    <t>Production Support</t>
  </si>
  <si>
    <t>Production Robot Monitoring, PTP Login Bot basic development for Captcha error</t>
  </si>
  <si>
    <t>STG Deployment, Finder issue for Time Received</t>
  </si>
  <si>
    <t>Worked on Database configuration for Log in 11.1.0.2, Worked on changes in STG Dev</t>
  </si>
  <si>
    <t xml:space="preserve">Case Study for STG ppt </t>
  </si>
  <si>
    <t>Worked on Mail API-WSDL file, and Production support</t>
  </si>
  <si>
    <t xml:space="preserve"> testing the email configuration for Lot data count to cx, Closing single lot</t>
  </si>
  <si>
    <t>Phoenix Outbound Process document review and Manual walk through</t>
  </si>
  <si>
    <t>WFH</t>
  </si>
  <si>
    <t>Worked on STG Outbound Process Robot</t>
  </si>
  <si>
    <t>Worked on STG Outbound Process Robot- Extract Subject from Webmail -DAS</t>
  </si>
  <si>
    <t>Worked on STG Outbound-Powershell, Training Session(Production Support Topic)</t>
  </si>
  <si>
    <t>Worked on STG-Outbound Process, and Production support</t>
  </si>
  <si>
    <t>Worked on Powershell script  to get content of txt file dynamically</t>
  </si>
  <si>
    <t xml:space="preserve">Worked on STG-Outbound Process, and CGR </t>
  </si>
  <si>
    <t>Holi</t>
  </si>
  <si>
    <t>Maha Shiva Ratri</t>
  </si>
  <si>
    <t>Worked on Phoenix Outbound Process</t>
  </si>
  <si>
    <t>Workd on Phoenix Oubound- Booking /File Number Extraction</t>
  </si>
  <si>
    <t>Woked on Log Database configuration in 11.2 Kapow</t>
  </si>
  <si>
    <t>Worked on 11.2 Kapow running as service and Production Support</t>
  </si>
  <si>
    <t xml:space="preserve">MC Health Check up Robot </t>
  </si>
  <si>
    <t>11.1 Kapow Running as Service</t>
  </si>
  <si>
    <t>Production Support, Deployment , Status Report</t>
  </si>
  <si>
    <t>Prepared Solution Design Document-STG,Status Report-STG</t>
  </si>
  <si>
    <t>Worked on STG Outbound Process Robot , Team Tasks</t>
  </si>
  <si>
    <t>Production Support,Error log-STG</t>
  </si>
  <si>
    <t>Worked on CGR-Installing Kapow as service</t>
  </si>
  <si>
    <t>Working on CGR -Log Data details</t>
  </si>
  <si>
    <t>Worked on CGR Environment-Installation of Kapow as Service</t>
  </si>
  <si>
    <t xml:space="preserve">Worked on Converting Kapow as Service </t>
  </si>
  <si>
    <t>Worked on Phoenix Outbound Process, Converting Kapow as service</t>
  </si>
  <si>
    <t>Worked on CGR Initiate session</t>
  </si>
  <si>
    <t xml:space="preserve">Worked on CGR </t>
  </si>
  <si>
    <t>Week Off       +  New Joinees Oriantation</t>
  </si>
  <si>
    <t>Worked on CGR - Live Link Click and Clean steps intigration</t>
  </si>
  <si>
    <t>Worked on CGR Dev Environment</t>
  </si>
  <si>
    <t>Worked on CGR DEV and Deployment in Production</t>
  </si>
  <si>
    <t>Production support- Removed Archive and Login Process from Production and Deployed</t>
  </si>
  <si>
    <t>Worked on Phoenix OB Process</t>
  </si>
  <si>
    <t>Worked on SecurityCode Extraction from Webmail, CGR Client Requirement Sessions</t>
  </si>
  <si>
    <t>Worked on Effort Estimation-CGR, Status Report-STG, and CGR Marvin Process</t>
  </si>
  <si>
    <t>1st April</t>
  </si>
  <si>
    <t>2nd April</t>
  </si>
  <si>
    <t>3rd April</t>
  </si>
  <si>
    <t>4th April</t>
  </si>
  <si>
    <t>5th April</t>
  </si>
  <si>
    <t>6th April</t>
  </si>
  <si>
    <t>7th April</t>
  </si>
  <si>
    <t>8th April</t>
  </si>
  <si>
    <t>9th April</t>
  </si>
  <si>
    <t>10th April</t>
  </si>
  <si>
    <t>11th April</t>
  </si>
  <si>
    <t>12th April</t>
  </si>
  <si>
    <t>13th April</t>
  </si>
  <si>
    <t>14th April</t>
  </si>
  <si>
    <t>15th April</t>
  </si>
  <si>
    <t>16th April</t>
  </si>
  <si>
    <t>17th April</t>
  </si>
  <si>
    <t>18th April</t>
  </si>
  <si>
    <t>19th April</t>
  </si>
  <si>
    <t>20th April</t>
  </si>
  <si>
    <t>21st April</t>
  </si>
  <si>
    <t>22nd April</t>
  </si>
  <si>
    <t>23rd April</t>
  </si>
  <si>
    <t>24th April</t>
  </si>
  <si>
    <t>25th April</t>
  </si>
  <si>
    <t>26th April</t>
  </si>
  <si>
    <t>27th April</t>
  </si>
  <si>
    <t>28th April</t>
  </si>
  <si>
    <t>29th April</t>
  </si>
  <si>
    <t>30th April</t>
  </si>
  <si>
    <t>Worked on CGR -Redeployment of OneNetwork</t>
  </si>
  <si>
    <t>Worked on CGR -Point 1, Point 2 from Philippe Email - Change Request</t>
  </si>
  <si>
    <t>Worked on CGR -Point 3 from Philippe Email - Change Request</t>
  </si>
  <si>
    <t xml:space="preserve">Worked on Marvin Carrefour France </t>
  </si>
  <si>
    <t>Worked on marvin Carrefour France, One Network</t>
  </si>
  <si>
    <t>Worked on CGR- OneNetwork AS400 Issues</t>
  </si>
  <si>
    <t>Worked on CGR Specific Error based report for OneNetwork and Deployment into Dev Server</t>
  </si>
  <si>
    <t>Worked on Carrefour Deployement, Uipath Training</t>
  </si>
  <si>
    <t>Worked on Onenetwork, Carrefour, and Uipath Training</t>
  </si>
  <si>
    <t xml:space="preserve">Worked on Carrefoure, Onenetwork And Ui Path </t>
  </si>
  <si>
    <t>Weekend</t>
  </si>
  <si>
    <t>Carrefour and OneNetwork Testing and Ui Path</t>
  </si>
  <si>
    <t>Carrefour Deployment in Production and OneNetwork till 5th Point and Ui Path</t>
  </si>
  <si>
    <t>Carrefour Bug fixes-redeployment and Ui Path</t>
  </si>
  <si>
    <t>WFH - Carrefour Issues and OneNetwork bug fixes</t>
  </si>
  <si>
    <t>Worked on Ui Path and OneNetwork change</t>
  </si>
  <si>
    <t xml:space="preserve">Worked on Marvin Carrefour changes ,OneNetwork chnages and deployment and Ui Path </t>
  </si>
  <si>
    <t>Marvin Carrefour updated with new DB query and deployed in Dev and Prod</t>
  </si>
  <si>
    <t xml:space="preserve">OneNetwork process updated with Execution and Error code based query </t>
  </si>
  <si>
    <t>Added finders in OneNetwork for Ordernot found and deployment in Dev and Prod</t>
  </si>
  <si>
    <t>Worked on CGR OneNetwork Issues</t>
  </si>
  <si>
    <t>Worked on Ui Path</t>
  </si>
  <si>
    <t>Worked on STG - New Cluster creation in Production Server</t>
  </si>
  <si>
    <t>Worked on STG Changes if files not Downloaded in Dev Environment</t>
  </si>
  <si>
    <t xml:space="preserve">Worked on Ui Path </t>
  </si>
  <si>
    <t>Worked on Ui Path - Login Phoenix and Download Reports</t>
  </si>
  <si>
    <t xml:space="preserve">Worked on Ui Path - Filter Reports and Extract the Required Details from Single Lot Screen </t>
  </si>
  <si>
    <t>Worked on Ui Path and OneNetwork - Removed email and Deployment</t>
  </si>
  <si>
    <t>Worked on Ui Path Practice</t>
  </si>
  <si>
    <t>Ui path Training &amp; Practice</t>
  </si>
  <si>
    <t>Work from Home - Ui Path Training and Practice</t>
  </si>
  <si>
    <t xml:space="preserve">STG- Phoenix2XCMS Deployment and Ui path Training </t>
  </si>
  <si>
    <t>Sick Leave</t>
  </si>
  <si>
    <t>Leave</t>
  </si>
  <si>
    <t>Work From Home</t>
  </si>
  <si>
    <t>Ui path Practice and Worked on OneNetwork Issues</t>
  </si>
  <si>
    <t>Ui Path Practice and Sample certification test</t>
  </si>
  <si>
    <t xml:space="preserve">Worked on OneNetwork and Ui Path </t>
  </si>
  <si>
    <t>Worked on Ui path  and OneNetwork Issues</t>
  </si>
  <si>
    <t>Worked on Ui path and certifications samples</t>
  </si>
  <si>
    <t>Worked on CGR-Management Console issues, and Marvin Carrefour issue</t>
  </si>
  <si>
    <t>Worked on Sql Server installation and New database creation/Configuration in CGR Dev Environment</t>
  </si>
  <si>
    <t>Worked on Ui Path Diploma Certifications and Concepts</t>
  </si>
  <si>
    <t>Ui Path Practice</t>
  </si>
  <si>
    <t>Worked on KTA Classification and Extraction , Forms, site creation</t>
  </si>
  <si>
    <t xml:space="preserve">Ui Path </t>
  </si>
  <si>
    <t>Ui Path</t>
  </si>
  <si>
    <t>Ui Path concepts for Certification</t>
  </si>
  <si>
    <t xml:space="preserve">STG Production Support, Ui Path </t>
  </si>
  <si>
    <t xml:space="preserve">Phoenix2CMS new changes deployed into Production </t>
  </si>
  <si>
    <t>Uipath Certification Exam</t>
  </si>
  <si>
    <t>Worked on KTA classification and Extraction</t>
  </si>
  <si>
    <t xml:space="preserve">Ui path Certification exam preparation </t>
  </si>
  <si>
    <t>Worked on CGR - Requirements</t>
  </si>
  <si>
    <t>Worked on CGR- Core Marks Remittance</t>
  </si>
  <si>
    <t>Worked on UiPath</t>
  </si>
  <si>
    <t>Training &amp;Worked on Uipath Preparation</t>
  </si>
  <si>
    <t>STG-Restart STG Prod Environment activity completed</t>
  </si>
  <si>
    <t>Training and Worked on STG Processes in Dev Environment</t>
  </si>
  <si>
    <t>Worked on CoreMark-Powershell script for Sending an Email</t>
  </si>
  <si>
    <t>Worked on CoreMark-Powershell script for Sending an Email with multiple attachments</t>
  </si>
  <si>
    <t>Worked on CoreMark - Developing the process in Client Environment</t>
  </si>
  <si>
    <t xml:space="preserve">Worked on Individual parts in CoreMark remittance </t>
  </si>
  <si>
    <t>Worked on Intigration of CoreMark and Testing Email configuration and Process</t>
  </si>
  <si>
    <t xml:space="preserve">Restart STG Prod Environment </t>
  </si>
  <si>
    <t>Deployed CoreMark Automation Process in CGR Dev Environment</t>
  </si>
  <si>
    <t>Worked on Core Mark Automation Process</t>
  </si>
  <si>
    <t>Worked CoreMark Automation -Different Scenarios</t>
  </si>
  <si>
    <t>Worked on KeHE Deduction Backup Process</t>
  </si>
  <si>
    <t>Worked on KeHE DeductionBackup Process - Powershell Part</t>
  </si>
  <si>
    <t>Worked on KeHE DeductionBackup Process - Downloading files into CGR Environment Test</t>
  </si>
  <si>
    <t>Worked on KeHE Deduction Process</t>
  </si>
  <si>
    <t>KeHE Deduction Process Deployed unit wise in CGR Dev Environment</t>
  </si>
  <si>
    <t>STG Environment Restart Activity Completed</t>
  </si>
  <si>
    <t xml:space="preserve">CGR- KeHE Process - Process flow diagram and Solution Design Document </t>
  </si>
  <si>
    <t>Worked on KeHE Process</t>
  </si>
  <si>
    <t xml:space="preserve">On Leave </t>
  </si>
  <si>
    <t>Worked on STG - OB Process Production Support</t>
  </si>
  <si>
    <t xml:space="preserve">Co-ordinated with team </t>
  </si>
  <si>
    <t>Worked on CGR - Schedule changes and STG Production Environment Restart</t>
  </si>
  <si>
    <t>Worked on RPA discovery questionary</t>
  </si>
  <si>
    <t>Worked on Automation Anywhere</t>
  </si>
  <si>
    <t>Worked on STG OB New Process - Flow Diagram and Task Break up</t>
  </si>
  <si>
    <t>Worked on STG -New Process Effort Estimate and Training for Kavitha, Navya, Tarun</t>
  </si>
  <si>
    <t>Vinayaka Chavithi Holiday</t>
  </si>
  <si>
    <t>Worked on STG - Reprocessing Booking files into OB Process</t>
  </si>
  <si>
    <t>Worked on CLS new Bot Documentation and New Process(OB Process)</t>
  </si>
  <si>
    <t>Worked on CLS new Bot Documentation</t>
  </si>
  <si>
    <t>Worked on CLS Bot documentation, Reprocess Failed booking  numbers into CMS</t>
  </si>
  <si>
    <t>WFH -  Worked on Phoenix Receiving Process - Exceptions Process flow diagram and WBS</t>
  </si>
  <si>
    <t>Worked on Reprocess Exceptions , Production Deployment- New Location in Phoenix OB Process</t>
  </si>
  <si>
    <t>Worked on Phoenix- Reprocess Exceptions</t>
  </si>
  <si>
    <t>Worked on Initiate session in Phoenix2CMS procss, Co ordinated with Kavitha, Navya, Tarun Regarding New STG Process</t>
  </si>
  <si>
    <t>Phoenix2CMS - Production Support</t>
  </si>
  <si>
    <t>Worked on SAP-IRPA</t>
  </si>
  <si>
    <t>Worked on Amazon Routing process document</t>
  </si>
  <si>
    <t>Worked on Amazon Routing process document, Environment checkup</t>
  </si>
  <si>
    <t>Worked on Amazon Routing Process and Tested PDF extraction</t>
  </si>
  <si>
    <t>Worked on STG - Reprocessing Booking files , Cordinated with RPA-II team</t>
  </si>
  <si>
    <t>Worked on Uipath , Use case eloboration, Cordinated with RPA-II team</t>
  </si>
  <si>
    <t>Worked on SAP - IRPA, Cordinated with RPA-II team</t>
  </si>
  <si>
    <t>Worked on SAP - IRPA,Cordinated with RPA-II team</t>
  </si>
  <si>
    <t>STG Production Support - Restart Prod Environment</t>
  </si>
  <si>
    <t>Effort Estimate for KTA based Project, STG Production Support - Restart Prod Environment</t>
  </si>
  <si>
    <t>KTA Requirement gathering sessions with client-STG</t>
  </si>
  <si>
    <t>Deployment of Phoenix Receiving process- Exceptions in Dev Environment</t>
  </si>
  <si>
    <t>Cordinated with RPA-II Team regarding Detailed analysis report and Exceptions Process</t>
  </si>
  <si>
    <t>ProductionSupport - Restarting STG environment</t>
  </si>
  <si>
    <t>Worked on Manifest documents</t>
  </si>
  <si>
    <t xml:space="preserve">Amazon Routing process walk through  regarding STG replies and worked on Ui Path </t>
  </si>
  <si>
    <t xml:space="preserve">Worked on Automation Anywhere </t>
  </si>
  <si>
    <t>Phoenix Receiving Exceptions Depolyment into Production, Worked on Amazon Routing process Effort Estimate</t>
  </si>
  <si>
    <t xml:space="preserve">Status Report and Detailed session with RPA -II regarding OB Process </t>
  </si>
  <si>
    <t>Production Support for STG - Resolved Phoenix2CMS and Exceptions Current Date/Time Issue</t>
  </si>
  <si>
    <t>Worked on Amazon Rouing Process WBS</t>
  </si>
  <si>
    <t>Worked on CGR Deployment</t>
  </si>
  <si>
    <t>Worked on CGR-OneNetwork Issues</t>
  </si>
  <si>
    <t xml:space="preserve">Worked on ARP -small parcel </t>
  </si>
  <si>
    <t>Worked on Uipath</t>
  </si>
  <si>
    <t>Worked on ARP -TL and LTL</t>
  </si>
  <si>
    <t>Worked on UI path and Automation Anywhere</t>
  </si>
  <si>
    <t>Interviews taken for Trainee position, CMS manifest mapping details</t>
  </si>
  <si>
    <t xml:space="preserve">Worked on Status call documents preparations - Based on CFS and CLS </t>
  </si>
  <si>
    <t>Phoenix 2CMS Current Date/Time Issue fixes and deployed in Production</t>
  </si>
  <si>
    <t xml:space="preserve">Working on Performance reports and New candidate engagement </t>
  </si>
  <si>
    <t>Worked on Manifest CMS Input steps</t>
  </si>
  <si>
    <t xml:space="preserve">KTA Installation in STG Production </t>
  </si>
  <si>
    <t>KTA License Activation in STG Dev/Production</t>
  </si>
  <si>
    <t>KTA Users Creations for KTA Team and worked on License Issues</t>
  </si>
  <si>
    <t>CFS-PDF Manifest Requirement Session, STG  Receiving Process - T-2 to T-1 changed and deployed</t>
  </si>
  <si>
    <t>Interviews and STG - Practiced on STG Manifest CMS fields mapping walk through</t>
  </si>
  <si>
    <t>Documents preparation for Status call and Inplimented graphical representation for Summary sheets</t>
  </si>
  <si>
    <t>New Joiners Orientation and training</t>
  </si>
  <si>
    <t>Added Graphical representation to STG-Summary Reports &amp; Training</t>
  </si>
  <si>
    <t>Installed 11.1.0.6 ManagementConsole in Tomcat &amp; Installation of Roboserver and Configure Cluster &amp; Training</t>
  </si>
  <si>
    <t>Database Creation and Configured JDBC to ManagementConsole &amp; Training</t>
  </si>
  <si>
    <t>Documentation Installation and Configuration of ManagementConsole &amp; Training</t>
  </si>
  <si>
    <t>Database connectivity in STG checked and KTA Servers verification</t>
  </si>
  <si>
    <t>Swagger test API practiced along with Raj</t>
  </si>
  <si>
    <t>Interview and Testing of Manifest Robot process into CMS and sent an email with all questions to Summer</t>
  </si>
  <si>
    <t>Status Call documents preparation, STG - New users access tested along with VPN configuration</t>
  </si>
  <si>
    <t>KTA software downloaded in STG Dev and Training</t>
  </si>
  <si>
    <t>Worked on KTA installation in STG Dev Environment</t>
  </si>
  <si>
    <t xml:space="preserve"> Worked on KTA installation in STG Dev Environment and Session with Trainees about Desktop Automation </t>
  </si>
  <si>
    <t xml:space="preserve">Worked on KTA Installation - Installation Completed </t>
  </si>
  <si>
    <t xml:space="preserve">Worked on KTA license part _ Pending _Desktop Automation </t>
  </si>
  <si>
    <t>Workedd on 10.5 management Console in New 192.168.60.199 server</t>
  </si>
  <si>
    <t>Desktop Automation  - Session and Phoenix2CMS process Demo for Trainees</t>
  </si>
  <si>
    <t>Discussion with Trainees, worked on RPA Questionary and KTA license activation research</t>
  </si>
  <si>
    <t>Working on KTA License activation and preparing ppt sheet for case study</t>
  </si>
  <si>
    <t>KTA Installation and Uninstallation and Testing</t>
  </si>
  <si>
    <t xml:space="preserve">DB Issues in 199 MC and KTA Installation </t>
  </si>
  <si>
    <t>KTA Installation Documentation and Resumes review for IBM</t>
  </si>
  <si>
    <t>KTA License activation in different server as it is already activated before</t>
  </si>
  <si>
    <t>Worked on GUI Installation and SDD for Kroger</t>
  </si>
  <si>
    <t>Performance Reports Sent to Team, Shift Handover sheet preparation, Test Case Document Verification</t>
  </si>
  <si>
    <t>VIM Videos and TT Internal VM Access test and KTA 7.5 Downloaded in 177 server</t>
  </si>
  <si>
    <t>Export Connector issue fixes in STG KTA Dev Server &amp; RPA Installation in KTA Dev Server</t>
  </si>
  <si>
    <t>Export Connector issue fixes in STG KTA Prod Server &amp; RPA Installation in KTA Dev Server</t>
  </si>
  <si>
    <t>Acer Motors site visit</t>
  </si>
  <si>
    <t>RPA installation in KTA Dev server, Asked STG for DB User with proper previliges, Raised ticket to kofax about KTA License issue</t>
  </si>
  <si>
    <t>RPA Installation, Roboserver Configuration, DB Configuration  in KTA Dev Server completed</t>
  </si>
  <si>
    <t xml:space="preserve">Status Reports for CFS and CLS preparation </t>
  </si>
  <si>
    <t>Worked on WBS and Case Study for Kroger Automation Process</t>
  </si>
  <si>
    <t>PDFManifest2CMS UAT</t>
  </si>
  <si>
    <t xml:space="preserve">Worked on PDFmanifest2RPA Bot Issues </t>
  </si>
  <si>
    <t>Worked on Manifest Process UAT</t>
  </si>
  <si>
    <t>PONGAL Off</t>
  </si>
  <si>
    <t>Training Session with STG End user</t>
  </si>
  <si>
    <t xml:space="preserve">Training Session with STG End user </t>
  </si>
  <si>
    <t>Worked on RPA 11.2 Installation in TT Internal Server</t>
  </si>
  <si>
    <t>New year Celebrations - Woking on Excel Manifest RPA</t>
  </si>
  <si>
    <t>Worked on KTA Manifest RPA Process Issues</t>
  </si>
  <si>
    <t>Worked on RPA Manifest Process - Issues fixes</t>
  </si>
  <si>
    <t>CGR -Kroger Process Deployment in Production</t>
  </si>
  <si>
    <t>CGR issue fixes and Worked on RPA Manifest Process - Issues fixes</t>
  </si>
  <si>
    <t>STG-ARP Estimations revised, STG OB process issues &amp; ExcelManifest2CMS process deployed in Production</t>
  </si>
  <si>
    <t>Worked on Deployment of PDFManifest2CMS in Production and Production Support for new processes</t>
  </si>
  <si>
    <t>Worked on CGR- Java Wrapper error for Design Studio and Manifest Process Support and Issue fixes</t>
  </si>
  <si>
    <t xml:space="preserve">Worked on CGR - Java Wrapper Issue and Support (Issue fixes) of Manifest Process in STG production </t>
  </si>
  <si>
    <t>Worked on STG - Manifest Processes Production Support and Issues fix</t>
  </si>
  <si>
    <t>VIM  Video sessions</t>
  </si>
  <si>
    <t xml:space="preserve">STG Manifest2CMS Production Support </t>
  </si>
  <si>
    <t>STG - PDF/Excel Manifest2CMS process - Production Support, Issue fixes and Summary report Preparation</t>
  </si>
  <si>
    <t>KTA email configuration for attachment fetching</t>
  </si>
  <si>
    <t>CGR Kroger Issues fixes and deployed in production</t>
  </si>
  <si>
    <t>HEB Process Deployed in Deve environment</t>
  </si>
  <si>
    <t>HEB Deployed in Production</t>
  </si>
  <si>
    <t>STG : KTA/RPAManifest2CMS process issues fixes and deployed in Productoin</t>
  </si>
  <si>
    <t>Worked on STG-Manifest2CMS Issues fixes</t>
  </si>
  <si>
    <t>Ardagh - VPN Connecttion and SAP GUI through server connection</t>
  </si>
  <si>
    <t>Worked on CGR - Kroger Issues</t>
  </si>
  <si>
    <t>Supporting team in Phoenix2CMS issue fixes and downloading Inventort reports</t>
  </si>
  <si>
    <t>ARP - Data checking and Email followup for data update in Synapse application</t>
  </si>
  <si>
    <t>Worked on CGR - Kroger and added additional feature, Worked on requirement gathering for Ardagh</t>
  </si>
  <si>
    <t>Requirements Excel sheet preparation for Ardagh and Req gathering</t>
  </si>
  <si>
    <t>Worked on Ardagh Design Document, STG new process call with Sal, Prepared doc for STG -CMS2Phoenix</t>
  </si>
  <si>
    <t>Healthcheck bot ppt preparation, Ardagh requirements sheet updation, ARP-SP followup for additional data</t>
  </si>
  <si>
    <t>Ardagh Requirements gathering - updaing it to excel sheet</t>
  </si>
  <si>
    <t>Ardagh Status call and Healthcheck Bot basic ppt preparation</t>
  </si>
  <si>
    <t xml:space="preserve">Status Reports and Summary Reports and Status Call, Phoenix2CMS new process document preparation </t>
  </si>
  <si>
    <t xml:space="preserve">Uipath Trail version installation and STG new process documentation and sent to STG </t>
  </si>
  <si>
    <t xml:space="preserve">VIM and Dashboard videos and Production Issues </t>
  </si>
  <si>
    <t>Ardagh Design Document and worked on Plan and Design document</t>
  </si>
  <si>
    <t>Reports preparation and follow up with Daisy regarding ARP - SP</t>
  </si>
  <si>
    <t xml:space="preserve">Requirements of Internal VM for Readsoft Installation </t>
  </si>
  <si>
    <t xml:space="preserve">CLS - Small parcel UAT  and sent email to STG to validate the data in Synapse application  and Testing the STG servers for </t>
  </si>
  <si>
    <t>RPA Generic user credentials updated in production and Confirmation email sent to STG</t>
  </si>
  <si>
    <t>Follow up with Aki about Small Parcel data verification in Synapse application and Mapping the CMS2Phoenix Data Dump</t>
  </si>
  <si>
    <t xml:space="preserve">Video recording of STG all processes and sent to STG </t>
  </si>
  <si>
    <t>Ardagh Front end solution plantwise code testing and SIT testing</t>
  </si>
  <si>
    <t>Ardagh Front end solution plantwise code Improvisitions and testing</t>
  </si>
  <si>
    <t>CGR - Kroger Issue fixes and deployment and Status reports preparation</t>
  </si>
  <si>
    <t>Performance reports and Powershell script using to download the attachments and Session with Daisy about Phoenix2CMS session walk through and followup emails</t>
  </si>
  <si>
    <t>Worked on PS script to get the subject line of the email for OB Process, and SIT call of Ardagh</t>
  </si>
  <si>
    <t>Bot Tool Integration - Walk through  and understanding the requirements and output file</t>
  </si>
  <si>
    <t>Call with STG about Bot Tool Integration</t>
  </si>
  <si>
    <t>ReadyWire-  downloading DPOS and access the website, TagUI Research and Ardagh Key User training</t>
  </si>
  <si>
    <t>Call with Daisy about UNCodes, Ardagh - SIT and Document training in Validation client</t>
  </si>
  <si>
    <t>Ardagh - Key user training ppt preparation and Gone through SAP -OAWD and Business woek center and Validation client</t>
  </si>
  <si>
    <t>Worked on Kofax RPA MC 11.2 Installation, Go food effort estimation  andReadyWire doc review and MOM preparation, CGR - HEB Issue fixes</t>
  </si>
  <si>
    <t>Worked on TagUI -Readywire Login and Navigation to Date Range screen is completed</t>
  </si>
  <si>
    <t>Tech Tiera RPA Exploratory Call and Ardagh - SIT call and worked on Training of the documents</t>
  </si>
  <si>
    <t>SIT Testing of Ardagh project and document validation</t>
  </si>
  <si>
    <t>STG Bot tool integration meeting with STG and basic practice of similar websites for RPA</t>
  </si>
  <si>
    <t>TagUI and Powershell integration with Readywire  and Ardagh call</t>
  </si>
  <si>
    <t>Status reports and worked on PS execution policies for executing PS script from Kapow , Ardagh - UOM logic tetsing call</t>
  </si>
  <si>
    <t>PS execution policies for executing PS script from Kapow, Readywire POC - II demo for complete dealer data, Call with Zethcon</t>
  </si>
  <si>
    <t>Test Script preparation and Readywire POC execution for given Inputs and Validation , Call with Raj about TagUI - Html Tags</t>
  </si>
  <si>
    <t xml:space="preserve">Readywire - GDMS Automation POC execution and validation </t>
  </si>
  <si>
    <t>Readywire POC Demo to customer, Bot Tool Integration moved to STG server</t>
  </si>
  <si>
    <t xml:space="preserve">Bot tool Integration - Deployed in production , Outpt file shared to STG </t>
  </si>
  <si>
    <t>MAYDAY</t>
  </si>
  <si>
    <t>Readywire Integration call, STG Status call reports preparation, Status call, Ardagh UAT Kick off call</t>
  </si>
  <si>
    <t>ARP -SP Process data into Production and sent email to STG, Ardagh delivery email monitor</t>
  </si>
  <si>
    <t>CGR - Onenetwork password update from Dev environment, Ardagh meetings</t>
  </si>
  <si>
    <t xml:space="preserve">Bot tool integration Input file and Status reports preparation and </t>
  </si>
  <si>
    <t>Readywire Call with Mahesh about Test scanarios and Ardagh  call</t>
  </si>
  <si>
    <t>Worked on Sending Facility wise data through mail notification - STG -CLS - ARP -SP Process and Bot tool integration changes</t>
  </si>
  <si>
    <t>Readywire uploaded to MC and  run stats and outfiles sent to Readywire and Frontline webscrape bit running and Ardagh call  and session with Justic</t>
  </si>
  <si>
    <t xml:space="preserve">Ardagh status update call </t>
  </si>
  <si>
    <t>UN Code deployment, SP Process issue fixes and deployment and Readywire WBS and CGR Design Studio issue, call with Ardagh, STG Prod MC Issue</t>
  </si>
  <si>
    <t>CFS and CLS Status reports preparation and Ardagh UAT final Meeting and TagUI (Co ordinated with Team) &amp; HEB Issue fixes</t>
  </si>
  <si>
    <t>ARP -SP Summary Sheets preparation Ardagh UAT status call</t>
  </si>
  <si>
    <t>Worked on STG Servers Details(Diskspace, Folderpaths and Projects list)updated to excel, STG - CR-6 WBS prepared, Ps script for merging excel column wise</t>
  </si>
  <si>
    <t>Ardagh - VIM and Validation Client screen to screen walk through</t>
  </si>
  <si>
    <t>Worked on Powershell scripts for Services testing, system status testing and Ardagh Meeting</t>
  </si>
  <si>
    <t>RPA11.2 Installation  and DB Configuration for Process data and Log Data</t>
  </si>
  <si>
    <t>Worked on Performance reports, Ardagh Plant addition to DD8 and used different Tcodes</t>
  </si>
  <si>
    <t>Ardagh - Deployment in Production and STG Status Reports preparation  and Training session  with Ardagh</t>
  </si>
  <si>
    <t xml:space="preserve">CGR - Coremark Issue, Call with Philippe about Creatio, Ardagh Support call </t>
  </si>
  <si>
    <t>Team performance review call with HR and Kiran sir, TT Internal KTA server License activation</t>
  </si>
  <si>
    <t>Status Reports and Management Console topics and Creatio, Access issues with Teams and Sharepoint for Lasya and Ashok</t>
  </si>
  <si>
    <t>Ardagh UAT Support, SharePoint Access</t>
  </si>
  <si>
    <t xml:space="preserve">Fieserv Password reset, CR - VI(STG) Deployed </t>
  </si>
  <si>
    <t>Ardagh - Meeting about Donna's Issue andArdagh - UAT Support , worked with Courteny about DN Issue</t>
  </si>
  <si>
    <t>Total Time</t>
  </si>
  <si>
    <t>Call with ShashiKanth about CGR - Creatio</t>
  </si>
  <si>
    <t>Worked on Ardagh - Issue log updation and frontline bot process</t>
  </si>
  <si>
    <t>Worked on Ardagh - Issue log and Powershell script for RDP connection and Ping Server Status  &amp; Call with STG about Post patching testing and Call with Ardagh about Vendor Training process updates</t>
  </si>
  <si>
    <t>Worked on Creatio - SSMS from Local and Call with Customer CGR</t>
  </si>
  <si>
    <t>Sessions with Bharath ;CR 7 Deployment ;  STG CRs and Respective Information doc preparation ; Ardagh - Pegg Issues - DNs upload and Understainding the Issue of the DNs in BCC</t>
  </si>
  <si>
    <t>CR - 7 Development ; Status Reports Preparation ;STG Status Call</t>
  </si>
  <si>
    <t xml:space="preserve">Ardagh - Adding Users for Validation Agent  and Testing theUAT </t>
  </si>
  <si>
    <t xml:space="preserve">Updated  Ardagh-Slingshot - RM &amp; Paper Automated Deliveries document. </t>
  </si>
  <si>
    <t>Worked on Data Analysis for CR - 7 to Estimate the Pros and Cons</t>
  </si>
  <si>
    <t>Conditional Validation for Plant 8 ; UAT and Sent test Reports ; Team Lunch</t>
  </si>
  <si>
    <t>Creatio - CGR</t>
  </si>
  <si>
    <t>Session with Bharath about SAP - VIM</t>
  </si>
  <si>
    <t xml:space="preserve">WFH - Effort Estimation for CR - 7, Testing Conditional Validation </t>
  </si>
  <si>
    <t>Worked on SAP - BCC and ABAP Codes of Transports, Ardagh Support(Tamie Issues- PDF pop up and Multiple line items Issue)</t>
  </si>
  <si>
    <t>Worked on Ardagh - EAM Access, and Team Performance reports and SAP -BCC</t>
  </si>
  <si>
    <t>Ardagh Status Report preparation and Status call with Ardagh &amp;  STG VPN - DUO app configiration for Team</t>
  </si>
  <si>
    <t>Prepared Status Reports for STG &amp; STG Status and Ardagh - UAT for U17 plant ; Call with Krishna ; UAT approved by PEGG</t>
  </si>
  <si>
    <t>Call with Pegg Courtney about UAT ; Performance Reports updated</t>
  </si>
  <si>
    <t>Ardagh  Session with Bharath , Reached out to Courtney and Session with Ajay about SAP</t>
  </si>
  <si>
    <t xml:space="preserve">Status Reports and Summary Reports Verification </t>
  </si>
  <si>
    <t>Team STG - VPN configuration</t>
  </si>
  <si>
    <t xml:space="preserve">Kristine Issue of missing DNs in Splitting solution and STG - Webmail access Issue &amp; Call with Creatio Team </t>
  </si>
  <si>
    <t>Ardagh Status Report preparation , Performance Reports</t>
  </si>
  <si>
    <t>Session with Anil about how to create Certificate and convert website into Secured</t>
  </si>
  <si>
    <t xml:space="preserve">STG - Status Reports preparation and HRMS - DOB notifications bot </t>
  </si>
  <si>
    <t>HRMS Bot Development, Testing</t>
  </si>
  <si>
    <t>Session with Anil about how to create Certificate and convert website into Secured, Ardagh Production Support(Worked on User Issue about missing Doc(Sharepoint Issue))</t>
  </si>
  <si>
    <t>HRMS Requirements Discussion with Abhilash and Data seggration</t>
  </si>
  <si>
    <t xml:space="preserve">STG - New Folder paths created in D Drive and updated in Design Studio and Deployed </t>
  </si>
  <si>
    <t>Associate Software Enginner</t>
  </si>
  <si>
    <t xml:space="preserve">Worked on HRMS - DOB and Annivarsary  notifications Autonmation - Moved all folders to 199 server </t>
  </si>
  <si>
    <t xml:space="preserve">Worked on HRMS - DOB and Annivarsary  notifications Autonmation - Testing </t>
  </si>
  <si>
    <t>Worked on Probationary period notifications process</t>
  </si>
  <si>
    <t>Status Reports and Summary reports verification and Status call</t>
  </si>
  <si>
    <t>Effort Estimation for CR - 8 and Email for Diasy about Folder paths and Service Account Credentials for 110 server</t>
  </si>
  <si>
    <t>Worked on RPA upgrade (going through the documentation)</t>
  </si>
  <si>
    <t>WFH - Worked on  Amazon textract -  read documentation and watched videos</t>
  </si>
  <si>
    <t xml:space="preserve">Ardagh - trained DNs in QD6 and Ardagh - status report and Amazon textract </t>
  </si>
  <si>
    <t xml:space="preserve">Worked on Support eamils, had call with Ken about folderpaths and service account for synapse work station </t>
  </si>
  <si>
    <t>Worked on Configuration of Lambda function and permissions and Trigger and Cloudlog watch</t>
  </si>
  <si>
    <t>AWS-Textract : Createion of S3 bucket and configuration of Lambda function to S3 bucket for Input files and trigger the process</t>
  </si>
  <si>
    <t xml:space="preserve">Worked on AWS textract - Extract data to CSV, Ardagh - Quantity LBS measure issue  and STG - Status Reports preparation </t>
  </si>
  <si>
    <t xml:space="preserve">Worked on Team performance Reports , AWS Textract </t>
  </si>
  <si>
    <t xml:space="preserve">Worked on Textract - Extraction to CSV </t>
  </si>
  <si>
    <t xml:space="preserve">Worked on Textract - Extraction of Table data to CSV </t>
  </si>
  <si>
    <t>Read Kofax KTA documentation and RPAsessions</t>
  </si>
  <si>
    <t>Worked on AWS - Textract - extract table and form data from expense type doc</t>
  </si>
  <si>
    <t>Worked on HRMS - processes  and deployement</t>
  </si>
  <si>
    <t>AWS - Textract - Extracted Table and Summary fields - Worked on Chnages in the Code to modify the OP file</t>
  </si>
  <si>
    <t>Worked on AWS - Textract - how to modify the code from Load(Visual Studio)</t>
  </si>
  <si>
    <t xml:space="preserve">MiCare - Docment walk through and Req excel preparation </t>
  </si>
  <si>
    <t>Worked on Creatio Registeration and account creation , Worked on Ardagh user Issue - reached out to user and resoolved the issue</t>
  </si>
  <si>
    <t>Worked on STG - New processes discovery call , Ardagh - Change request solution Doc prepared and send to Pushpendra</t>
  </si>
  <si>
    <t>Worked on Ardagh change request - Turned On the Validaiton client for U24 plant and testing the configuration ;</t>
  </si>
  <si>
    <t>Worked on Microsoct Computer Vision</t>
  </si>
  <si>
    <t>STG - prepared excel of all processes , schedules and server and alerts details ; Status reports ; microsoft vision</t>
  </si>
  <si>
    <t>Worked on AWS textract , Team Task review and Ardagh - User Issue fix and Status report and Issue log update</t>
  </si>
  <si>
    <t xml:space="preserve">Worked on Textract - connect lambda from local </t>
  </si>
  <si>
    <t>Worked on Ardagh Status Report and Customs Release Process WBS</t>
  </si>
  <si>
    <t>Worked on Ardagh Production Support Issue; STG Issue - responded to Customer</t>
  </si>
  <si>
    <t>Worked on Customs Release Process and assumptions; Ardagh Productoin Support</t>
  </si>
  <si>
    <t xml:space="preserve">Worked on Customs release - and Zoho API calling from PostMan </t>
  </si>
  <si>
    <t>Worked on Team Performance Reports and Effort estimations for Customes Release process</t>
  </si>
  <si>
    <t xml:space="preserve">Worked on Ardagh MOM and STG ROI for all projects in one excel sheet and KTA Project </t>
  </si>
  <si>
    <t>Ardagh Kick Off call for new CR, Creatio Users list for Certification</t>
  </si>
  <si>
    <t>Ardagh Production Issue(Amy - Auth Issue), and Effort Estimation for STG Customs release process and Alfresco DMS Process</t>
  </si>
  <si>
    <t>Worked on KTA VM confuguration in local systems and STG ROI Dashboard updates</t>
  </si>
  <si>
    <t xml:space="preserve">Worked on AWS : Create RDS-SQL and connect from local SSMS; Frontline bot Issue </t>
  </si>
  <si>
    <t>Worked on export data from S3 to RDS SQL server</t>
  </si>
  <si>
    <t>Worked on Customs Release Docuware API and Alfresco Environment setup ; AWS Export data to DB from S3 bucket</t>
  </si>
  <si>
    <t>Worked on Textract - S3 to RDS MSSQL</t>
  </si>
  <si>
    <t xml:space="preserve">Status Reports and ROI Dashboard chnages and Textract </t>
  </si>
  <si>
    <t xml:space="preserve">Ardagh Status Report and Worked on Alfresco Installation </t>
  </si>
  <si>
    <t>Worked on STG - Server Issue(Robo Server offline) AWS and Follow up emails</t>
  </si>
  <si>
    <t>Frontline - Verified Site URLs and access; Cutsomes Release Process- Solution Design Document and Textract to DB</t>
  </si>
  <si>
    <t xml:space="preserve">Frontline - WBS Draft preparation; Status Report &amp; ROI Dashboard Preparation </t>
  </si>
  <si>
    <t xml:space="preserve">Email followups of STG &amp; Ardagh(Reached out to Pegg ) &amp; FiServ MOM Prepared &amp; Ardagh Status Report Prepared </t>
  </si>
  <si>
    <t>Creatio session</t>
  </si>
  <si>
    <t xml:space="preserve">Worked on Ondot - Flow Diagrams for 4 Products &amp; shared with team </t>
  </si>
  <si>
    <t>Worked on follow up emails and STG - meeting with STG(Frontline - Status &amp; POD process) &amp; Overview call about xECM with Kiran</t>
  </si>
  <si>
    <t>STG - Status Reports &amp; Ardagh Issue - Reached out Push &amp; Walmart Routing process call with Aki &amp; CM activity Diagram - Shared with FiServ Team</t>
  </si>
  <si>
    <t>Ardagh Functional Design Doc verification and Status Report &amp; Reached out to Push regarding Kristine Issue</t>
  </si>
  <si>
    <t>Worked on Customs Release Process - Deployment Document review &amp; FiServ MOM Preparartion &amp; FiServ Meetings</t>
  </si>
  <si>
    <t xml:space="preserve">Ionos emails data backup &amp; KTA POC(Mouli's) Input files review and </t>
  </si>
  <si>
    <t xml:space="preserve">Worked on TDE Activity diagram using Draw.io &amp;  STG - Status &amp; POD Status update call </t>
  </si>
  <si>
    <t>Worked on Ardagh Status Reports and Vision Demo with Kiran sir</t>
  </si>
  <si>
    <t>Ardagh Status Report &amp; Status Call &amp; Review of CR - I discussion &amp; Testing of CR- I</t>
  </si>
  <si>
    <t xml:space="preserve">Creatio Emails, Ardagh CR review and Test case preparation and tetsing ; UiPath Health check bot discussion ; STG production support email responded </t>
  </si>
  <si>
    <t>Creatio Emails and Team performance reports</t>
  </si>
  <si>
    <t>Requested for Creatio exam postpone ; STG - Status &amp; POD Status call</t>
  </si>
  <si>
    <t xml:space="preserve">STG Status Reports &amp; ROI Dashboard updates ; call with Krishna and SIT review call with Push and STG Status call </t>
  </si>
  <si>
    <t>Ardagh Status Report &amp; STG Issue Email and Health Check bot support Documents preparation</t>
  </si>
  <si>
    <t>Ardagh tetsing for Single Vendor multiple plants, STG - OB Process 0 CR WBS &amp; Effort &amp; HealthCheck -RPA Demo Meeting with Client &amp; STG Issue Email - Responded &amp; Support Ticket raised for MFA issue in RPA</t>
  </si>
  <si>
    <t>Responded to Ethan's &amp; Jonna's Email &amp; IPI Dest value update emails from STG ; Perofrmance Reports ; Kofax Support Email</t>
  </si>
  <si>
    <t xml:space="preserve">STG - RPA ROI Dashboard and Summary and Status Repots </t>
  </si>
  <si>
    <t xml:space="preserve">Sent email to Pradeep sir about SP Process ROI Calculations &amp; Ardagh Status Report and Issue log sent to Ardagh &amp; Status &amp; POD process - Working on URLs </t>
  </si>
  <si>
    <t>Emails Follow up(STG - CR &amp;Ethan's Emial &amp;  Customs Release ROI sent to Cecilia) Call with Kiran about Laptop assignment &amp; Muzaffar Hike and Working on PowerBI</t>
  </si>
  <si>
    <t>Ardagh Authenticator configuration, Reached out to Debra for DN Issue</t>
  </si>
  <si>
    <t xml:space="preserve">Worked on PowerBI uploading data from Excel </t>
  </si>
  <si>
    <t>Worked on PowerBI - generating Grapghs &amp; Ardagh status report and Issue log updated</t>
  </si>
  <si>
    <t xml:space="preserve">	SEAW &amp; SFOW facility locations changed in the CMS   - Status Report, 	CMS website is updated with one field - accommodated logic and deployed  - Email sent &amp; Added to Status Report
	CMS website login passwords updated -- Updated RPA User  &amp; Mail yet to send,	WBS for additional Manifest  - Is it fixed cost or WBS &amp; Effort need to send,	Status Reports for CFS &amp; CLS  -  
ROI Dashboard   - Sent to Kiran sir</t>
  </si>
  <si>
    <t>Call with Bharati and Krishna about Object Authorization issue, Call with Debra/Push regarding Quantity conversion issue, STG - Status Reports Review and Sharing with STG &amp; Status call</t>
  </si>
  <si>
    <t>Festival Holiday</t>
  </si>
  <si>
    <t>Additional Manifests assigned to Vinitha &amp; Responded to Christa SOW email &amp; Ardagh Status Reports Review and Status Call</t>
  </si>
  <si>
    <t>Worked on POWER BI - Different types of visualizations and FiServ - flow chart preparation and Status &amp; POD mapping review and Additional maifests email - requested for custimer names for Manifests</t>
  </si>
  <si>
    <t xml:space="preserve">Worked on PowerBI - DAX &amp; Interview(Pavan) </t>
  </si>
  <si>
    <t>Worked on Power BI - Import data from My SQL &amp; Loading data from excel to MySQL</t>
  </si>
  <si>
    <t>STG - Support ticket - Responded
STG - Prod &amp; Dev are not in Sync due updated fields in production are not there in Beta URL  - Information &amp;  Status Reports &amp; Summary Sheets &amp; STG - ROI Dashboard  &amp; PowerBI - MySQL connection is established and  need to work on maps</t>
  </si>
  <si>
    <t>Ardagh Status Report  &amp; Ardagh Issue with Quantity - UOM Table &amp; PowerBI - Import data from DB and generate reports</t>
  </si>
  <si>
    <t>Performance Reports (KTA &amp; RPA) &amp; CAS &amp; AppManager diagram for Ondot team &amp; PowerBI - from MySQL &amp; Ardagh - need to check with Push about quantity conversion &amp;STG - Ethan asked for availability &amp; updated URLs and  passwords</t>
  </si>
  <si>
    <t>STG - Status &amp; POD Mapping call &amp; Ardagh - Solution Design Doc - need to send to Push</t>
  </si>
  <si>
    <t>STG Status Reports Review &amp; and ROI Dashboard &amp; CFS Status Call &amp; ROI Dash board update</t>
  </si>
  <si>
    <t xml:space="preserve">Ardagh Status Report &amp; Issue log &amp; Ardagh Solution &amp; Design Document - Follow up &amp; STG - Status &amp; POD Process - Requirement document preparation </t>
  </si>
  <si>
    <t>Okta MFA &amp; Power BI  &amp; STG - VPN Passwords expired</t>
  </si>
  <si>
    <t>STG - Status &amp; POD - Requirements document  - Review &amp; Ardagh - solution design document - review &amp; KTA team - Performance Reports Review  &amp; sent email to Summer/Cecilia/Nicole --- ask them to send manifests  to rpamail   - Drafted</t>
  </si>
  <si>
    <t>KTA Team performance Reports &amp; STG - Status &amp; POD process - Status call @ 8:30PM &amp;  Draft Requirements  follow up &amp; Status column related information from Gracie &amp; STG - CR - IV and additional manifests deployment    - Update&amp; STG - VPN password expired(Vinitha &amp; Mouli)&amp;STG - Issue with MC - Continuously going down</t>
  </si>
  <si>
    <t xml:space="preserve">ROI Dashboard &amp; Status Reports </t>
  </si>
  <si>
    <t xml:space="preserve">CLI - ROI need to update &amp; Email to follow up for VPN passwords </t>
  </si>
  <si>
    <t>Reached out to Push regarding the issue with quantity conversion</t>
  </si>
  <si>
    <t>Worked on Installing SQL server 2019 version for restore the database backup for PowerBI &amp; Interview Annam vamshi &amp; Quantity conversion issue</t>
  </si>
  <si>
    <t>WBS - Status &amp; POD Process Automation</t>
  </si>
  <si>
    <t>PowerBI - working on different dashboards</t>
  </si>
  <si>
    <t>Reachedout to Push regarding QD6 access Issue &amp; Reached out to Krishna regarding Quantity conversion issue &amp; HRMS Master Data follow up email and STG - VPN Passwords Issue</t>
  </si>
  <si>
    <t xml:space="preserve">Elections Day </t>
  </si>
  <si>
    <t>STG - CR changes in Dev and STG Production</t>
  </si>
  <si>
    <t>TechTiera - RPA NFR license applied &amp; Status &amp; POD - Updated excel with the URLs that are shared by Grace &amp; STG : OB Process - CR 4 (Reprocessing the failed Booking/File Numbers to the Load Plan)  and additional Manifests(KL Logistics and Pan Link) Deployed in Production</t>
  </si>
  <si>
    <t>Support</t>
  </si>
  <si>
    <t xml:space="preserve">Worked on Smart Pay - Documentation and draw.io file </t>
  </si>
  <si>
    <t>worked on PowerBI  and Database restore and Worked on issue of Restoring DB and Smart Pay</t>
  </si>
  <si>
    <t>Team Performance Reports &amp; PO &amp; GR gathered for Smart Pay process and worked on Restoring DB Backup</t>
  </si>
  <si>
    <t xml:space="preserve">STG - Status call &amp; Ardagh Status Call &amp; STG - Walmart Routing process walkthrough </t>
  </si>
  <si>
    <t>ROI Dashboard and STg - Status Reports preparation and Ardagh Test case execution for CR - 1(quantity Issue)</t>
  </si>
  <si>
    <t>Worked on Ardagh Status Reports and Testing Melisa issue in QD6 and Issuing Laptops to Team</t>
  </si>
  <si>
    <t>Ardagh Quantity with decimal issue and ROI Dashboard and STG Staus Reports for CFS &amp; CLS  and STG - VPN passowrds issues</t>
  </si>
  <si>
    <t>xECM meeting and PowerBI Database tables reviewing &amp; Watched PowerBI through SQL videos</t>
  </si>
  <si>
    <t>Installation of 2019 SQL Server and SSMS &amp; Worked on Restoring DB back up to SQL server &amp; Connecting DB Tables through PowerBI</t>
  </si>
  <si>
    <t>STG - Walmart Routing process Req doc preparation</t>
  </si>
  <si>
    <t>Worked on Ardagh Status Reports and Testing run time issue in QD6</t>
  </si>
  <si>
    <t>Team Performance Reports Review and Ardagh Issues and PowerBI Dababase review and relationship understanding</t>
  </si>
  <si>
    <t>Christmas Holiday</t>
  </si>
  <si>
    <t xml:space="preserve">Work From Home - Ardagh Status Report and Issue log updated and Had call with Status Report and Status Call </t>
  </si>
  <si>
    <t xml:space="preserve">Worked on STG - ROI dashoard and Status Reports </t>
  </si>
  <si>
    <t>Had call with Push &amp; Krishna regarding the Quanity issue and fixes - Testing done and sent confirmation email to Push and solution Design doc to Ardagh</t>
  </si>
  <si>
    <t>Worked on the PowerBI Database table and relationships</t>
  </si>
  <si>
    <t>Worked on Creatio Sessions &amp; had call about SQL queries for Table relationship and column names</t>
  </si>
  <si>
    <t xml:space="preserve">Creatio Session </t>
  </si>
  <si>
    <t xml:space="preserve">STG - ROI Dashboard ans Status Calls </t>
  </si>
  <si>
    <t xml:space="preserve">New year activities </t>
  </si>
  <si>
    <t xml:space="preserve">Worked on SmartPay Test case document Preparation </t>
  </si>
  <si>
    <t>Worked on Walmart Routing Process - TL &amp; LTL - WBS &amp; Effort and Amazon Routing Process - TL &amp; LTL - WBS &amp; Effort and Add Vinod for all SP Process Email notifications</t>
  </si>
  <si>
    <t>Worked on ROI Dashboard and WBS for both Amazon &amp; Walmart routing Processes</t>
  </si>
  <si>
    <t xml:space="preserve">Worked on CLS Status Report and Ardagh Status Report </t>
  </si>
  <si>
    <t xml:space="preserve">Walmart Routing Process - Detailing Session &amp; STG - Prod and Dev MCs Issue </t>
  </si>
  <si>
    <t xml:space="preserve">Amazon Routing Process - TL&amp; LTL WBS and Effort estimation &amp; Sent an email to STG to remove TT Ids from STG network </t>
  </si>
  <si>
    <t xml:space="preserve">ROI Dashboard, Ardagh Status Reports &amp; Summary Reports </t>
  </si>
  <si>
    <t>Raised a new ticket for new VPNs and to remove old Ids from STG network &amp; respomded to PTTEP emails &amp; Ardagh Teams access MFA issue</t>
  </si>
  <si>
    <t xml:space="preserve">Worked on Testing the Smartpay web application, Ardagh Status Report and STG - CLS Status Report </t>
  </si>
  <si>
    <t>Meeting with Duis(teams access Issue) &amp; STG CFS status report &amp; ROI Dashboard</t>
  </si>
  <si>
    <t>Follow up with STG about new VPN Ids &amp; Phoenix - CMS Facility change</t>
  </si>
  <si>
    <t>Ardagh Status Report and CLS Status Report &amp; STG - Walmart Routing Process - Requirements documentation sent to STG</t>
  </si>
  <si>
    <t xml:space="preserve">Follow up with Ardagh about Teams access Issue </t>
  </si>
  <si>
    <t>Pongal Holiday</t>
  </si>
  <si>
    <t>Worked on Copilot (extracting data from email using copilot) &amp; Ardagh Status Report</t>
  </si>
  <si>
    <t>Worked on Copilot (extracting data from email using copilot), STG - CFS &amp; CLS Status Reports &amp; STG - ROI Dashboard</t>
  </si>
  <si>
    <t>Had call with STG support Team about TT associates STg Emails and STG DUP applications access</t>
  </si>
  <si>
    <t xml:space="preserve">Raised ticket for Lasya and Sathyanandam's neew VPN access for STG </t>
  </si>
  <si>
    <t>Smartpay end to end testing</t>
  </si>
  <si>
    <t>Worked on configuring Team STG emails and duo application and responded back to STG support team</t>
  </si>
  <si>
    <t xml:space="preserve">Worked on Effort &amp; ROI Summary Sheets for CLS 3 Processes </t>
  </si>
  <si>
    <t>Worked on Processflow diagrams for STG - CLS 3 Processes</t>
  </si>
  <si>
    <t>STG Status Reports &amp; Summary reports &amp; ROI Dashboard &amp; Ardagh Issue call with Kiran</t>
  </si>
  <si>
    <t xml:space="preserve">Worked on Git Repo creation and add, commit, push and branches </t>
  </si>
  <si>
    <t>Worked on Ardagh Status Report &amp; Ardagh Demo call about BCW upgrade</t>
  </si>
  <si>
    <t>Worked on followup items(Steven's call status &amp; Team related issues)</t>
  </si>
  <si>
    <t>Worked on AWS Shipment Damage Detection</t>
  </si>
  <si>
    <t>Worked on Fiserv password reset, ROI Dashboard &amp; STG - CFS &amp; CLS Status Reports &amp; Responded to Summer Email &amp; Tenneco Email(Follow up)</t>
  </si>
  <si>
    <t>Worked on Ardagh Status Report</t>
  </si>
  <si>
    <t xml:space="preserve">Worked on Case Studies of STG </t>
  </si>
  <si>
    <t>Worked on Case studies of CGR</t>
  </si>
  <si>
    <t>Worked on Case Studies of Aedagh &amp; ReadyWire and STG - Location change request testing and sent observations to STG/Summer</t>
  </si>
  <si>
    <t>Worked on Custom HealthCheck RPA WBS and ProcessFlow &amp; Shipment Damage Detection Set up in local system &amp; Changes made for Customer Name(Phoenix webpage)and deployment done</t>
  </si>
  <si>
    <t xml:space="preserve">WFH(STG Status Reports &amp; Summry sheets &amp; ROI Dashboard  &amp; STG - Location change request Depoyment </t>
  </si>
  <si>
    <t>WFH(Ardagh Status Report)</t>
  </si>
  <si>
    <t xml:space="preserve">Follow up on all the pending items and Work assignments to the team </t>
  </si>
  <si>
    <t xml:space="preserve">Worked on ROI Dashboard , STG CFS &amp; CLS Status Reports </t>
  </si>
  <si>
    <t>Worked on Python Script to extract the data from PDF and sending out an email with output file</t>
  </si>
  <si>
    <t>Worked on Python Script to extract the data from PDF and sending out an email with output  file per each PO input</t>
  </si>
  <si>
    <t>Worked on Tesseract (Extract data form PDF)</t>
  </si>
  <si>
    <t>Ardagh Status Report and Reached out to Push</t>
  </si>
  <si>
    <t xml:space="preserve">WFH </t>
  </si>
  <si>
    <t>System Analyst</t>
  </si>
  <si>
    <t xml:space="preserve">Worked on followups and Team assignments </t>
  </si>
  <si>
    <t>Worked on Smartpay testing and made changes in the script according to the UOM Values</t>
  </si>
  <si>
    <t xml:space="preserve">Smartpay Demo &amp; Worked on Fiserv password reset, ROI Dashboard &amp; STG - CFS &amp; CLS Status Reports </t>
  </si>
  <si>
    <t>Attended Call for Automation Anywhere Client meeting &amp; Worked on Ardagh Status Report</t>
  </si>
  <si>
    <t xml:space="preserve">Worked on Team Performance Reports &amp; Ardagh Multiple line items Issue testing in QD6 and reached out to Push </t>
  </si>
  <si>
    <t xml:space="preserve">Worked on Automation Anywhere - Control Room and IQ Bot </t>
  </si>
  <si>
    <t>Worked on Ardagh Status Report and Tenneco bug fix  and deployment</t>
  </si>
  <si>
    <t xml:space="preserve">gone through the Brother-SG Processes HL documents </t>
  </si>
  <si>
    <t>Worked on STG Status Reports &amp; Worked on Automation Anywhere and worked on Demo Processes</t>
  </si>
  <si>
    <t>W</t>
  </si>
  <si>
    <t>F</t>
  </si>
  <si>
    <t>H</t>
  </si>
  <si>
    <t>Worked on KTA basics  &amp; Performance Reports</t>
  </si>
  <si>
    <t>Worked on Automation Anywhere - Connect to Email , Download Attachments , Archive and SAP Automation(Login &amp; and Perform T Code)</t>
  </si>
  <si>
    <t>Worked on Automation Anywhere - IQ Bot  and Database Connections and Query Execution - Worked on STG - KTA - Watched Folder Configuration</t>
  </si>
  <si>
    <t>Bots and Description Document and Process Flow Diagram , STG - KTA Mail Issue resolved, ROI Dashboard and Status Reports and Summary Reports</t>
  </si>
  <si>
    <t xml:space="preserve">WFH  - Worked on Ardagh Status Report </t>
  </si>
  <si>
    <t xml:space="preserve">Worked on Tenneco Bugzilla access and teams access Issue of Kiran and Vinitha </t>
  </si>
  <si>
    <t>Worked on Automation Anywhere - IQ Bot and DB Connection</t>
  </si>
  <si>
    <t xml:space="preserve">Worked on STG - ROI Dashboard and Status Reports </t>
  </si>
  <si>
    <t xml:space="preserve">Worked on Team Performance Reports , Automation Anywhere videos </t>
  </si>
  <si>
    <t>Holiday</t>
  </si>
  <si>
    <t xml:space="preserve">Worked on Automation anywhere and M365 registration </t>
  </si>
  <si>
    <t xml:space="preserve">Worked on Automation Anywhere Control Room Videos and Admin, STG - ROI Dashboard and Status &amp; Summary Reports </t>
  </si>
  <si>
    <t xml:space="preserve">Worked on Demo summary and ROI Sheets for Brother - SG presentation </t>
  </si>
  <si>
    <t>Worked on Muzaffar's STG VPN Issue and verified Kiran's Tenneco bugzilla access and AA Installation</t>
  </si>
  <si>
    <t>DB Installation and AA Installation on Premises and User/Roles creation</t>
  </si>
  <si>
    <t>CGR - Onenetwork Issue fixes and STG ROI Dashboard and Status Reports</t>
  </si>
  <si>
    <t xml:space="preserve">CGR - Onenetwork Issue verification and Automation Anywhere Bot agenet issue and IQ Bot installation </t>
  </si>
  <si>
    <t xml:space="preserve">AA - Demo </t>
  </si>
  <si>
    <t xml:space="preserve">STG - ROI Dashboard and Status &amp; Summary Reports </t>
  </si>
  <si>
    <t>Worked on AA a</t>
  </si>
  <si>
    <t>Worked on Automation Anywhere, and follow up Items</t>
  </si>
  <si>
    <t xml:space="preserve">STG Status Reports and ROI Dashboard and KTA versions history </t>
  </si>
  <si>
    <t>WFH(Ardagh Status Report and KTA Discovery call)</t>
  </si>
  <si>
    <t>Worked on Tenneco bug and Automation Anywhere</t>
  </si>
  <si>
    <t>Worked on KTA Extraction Group</t>
  </si>
  <si>
    <t>Worked on KTA VM Installaiton and Set up</t>
  </si>
  <si>
    <t>Election Day</t>
  </si>
  <si>
    <t>Worked on KTA(Created Extraction Group and Classification Group)</t>
  </si>
  <si>
    <t>Kofax Products and Version and Sunset Time sheet preperation &amp; Tenneco Extraction</t>
  </si>
  <si>
    <t>GM Production Extraction &amp;  Process Design(Image Processing, Document Review, Classification, Extraction) and Work Queue &amp; STG ROI Dashboard &amp; Status Reports</t>
  </si>
  <si>
    <t xml:space="preserve">KTA - Tenneco Workflow </t>
  </si>
  <si>
    <t>Worked on GM Service Template extraction</t>
  </si>
  <si>
    <t>Worked on KTA Installation guide &amp; STG status Report and Dashboard</t>
  </si>
  <si>
    <t>Ardagh Status Report &amp; KTA Installation</t>
  </si>
  <si>
    <t>Memorial Day</t>
  </si>
  <si>
    <t>Worked on KTA Installation and Github</t>
  </si>
  <si>
    <t>Worked on Tenneco bug (GM Classification Issue)</t>
  </si>
  <si>
    <t xml:space="preserve">Worked on KTA Installation guide &amp; STG status Report and Dashboard &amp; Teneco bug solution deployed </t>
  </si>
  <si>
    <t>Worked on tenneco bug - Ford Price Change Summary</t>
  </si>
  <si>
    <t>Worked on KTA Installation &amp; Development</t>
  </si>
  <si>
    <t>Worked on tenneco bug - Ford Price Change Summary &amp; STG Summary and Status Reports &amp; ROI Dashboard</t>
  </si>
  <si>
    <t>Work from home</t>
  </si>
  <si>
    <t xml:space="preserve">Worked on KC KTM instalation </t>
  </si>
  <si>
    <t xml:space="preserve">Worked on Tenneco DTNA bug </t>
  </si>
  <si>
    <t>Worked on Tenneco DTNA bug  &amp; STG ROI  Dashboard and Status Report</t>
  </si>
  <si>
    <t>Worked on Tenneco DTNA bug  &amp; Ardagh Status Report</t>
  </si>
  <si>
    <t xml:space="preserve">Worked on Tenneco DTNA issue deployment </t>
  </si>
  <si>
    <t xml:space="preserve">Worked on Production Support </t>
  </si>
  <si>
    <t>STG Summary and Status Reports &amp; ROI Dashboard</t>
  </si>
  <si>
    <t xml:space="preserve">Worked on going through the KTA documentation </t>
  </si>
  <si>
    <t xml:space="preserve">Worked on Tenneco bug </t>
  </si>
  <si>
    <t>Worked on KC &amp; KTM</t>
  </si>
  <si>
    <t>Worked on Tenneco bug and deployed in 431 server</t>
  </si>
  <si>
    <t>Worked on SQL DB log file backup</t>
  </si>
  <si>
    <t xml:space="preserve">Worked on SQL DB log file backup and changing log file size </t>
  </si>
  <si>
    <t>Tenneco bug &amp; CGR - backup the DB Logfile &amp; one liner for TT PPT for STG RPA</t>
  </si>
  <si>
    <t>Worked on STG - KTA Process issue and Tenneco meeting with Carlo</t>
  </si>
  <si>
    <t xml:space="preserve">CGR Requirement session and Tenneco Session with Client </t>
  </si>
  <si>
    <t>Worked on CGR WBS and Effort Estimaiton</t>
  </si>
  <si>
    <t>Worked on Tenneco Effort Summary and STG Prod and Dev environment issue</t>
  </si>
  <si>
    <t>STG Prod and Dev environment issue</t>
  </si>
  <si>
    <t xml:space="preserve">                        </t>
  </si>
  <si>
    <t>Day</t>
  </si>
  <si>
    <t>Week Off's</t>
  </si>
  <si>
    <t>Casual Leave</t>
  </si>
  <si>
    <t>Half Day</t>
  </si>
  <si>
    <t>TT Timesheet Employee Information</t>
  </si>
  <si>
    <t>Remarks if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</si>
</sst>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h:mm\ AM/PM;@"/>
    <numFmt numFmtId="166" formatCode="h:mm;@"/>
    <numFmt numFmtId="167" formatCode="[$-F400]h:mm:ss\ AM/PM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99">
    <xf numFmtId="0" fontId="0" fillId="0" borderId="0" xfId="0"/>
    <xf numFmtId="0" fontId="1" fillId="5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20" fontId="0" fillId="0" borderId="0" xfId="0" applyNumberFormat="1" applyAlignment="1">
      <alignment horizontal="center"/>
    </xf>
    <xf numFmtId="20" fontId="0" fillId="4" borderId="0" xfId="0" applyNumberFormat="1" applyFill="1" applyAlignment="1">
      <alignment horizontal="center"/>
    </xf>
    <xf numFmtId="20" fontId="1" fillId="5" borderId="0" xfId="0" applyNumberFormat="1" applyFon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1" xfId="0" applyBorder="1"/>
    <xf numFmtId="166" fontId="0" fillId="4" borderId="0" xfId="0" applyNumberFormat="1" applyFill="1" applyAlignment="1">
      <alignment horizontal="center"/>
    </xf>
    <xf numFmtId="166" fontId="1" fillId="5" borderId="0" xfId="0" applyNumberFormat="1" applyFont="1" applyFill="1" applyAlignment="1">
      <alignment horizontal="center" vertical="center"/>
    </xf>
    <xf numFmtId="166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/>
    <xf numFmtId="166" fontId="0" fillId="0" borderId="0" xfId="0" applyNumberFormat="1"/>
    <xf numFmtId="16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/>
    <xf numFmtId="166" fontId="5" fillId="6" borderId="1" xfId="0" applyNumberFormat="1" applyFont="1" applyFill="1" applyBorder="1"/>
    <xf numFmtId="16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/>
    <xf numFmtId="166" fontId="0" fillId="6" borderId="1" xfId="0" applyNumberFormat="1" applyFill="1" applyBorder="1"/>
    <xf numFmtId="166" fontId="0" fillId="6" borderId="1" xfId="0" applyNumberFormat="1" applyFill="1" applyBorder="1" applyAlignment="1">
      <alignment horizontal="center" vertical="center" wrapText="1"/>
    </xf>
    <xf numFmtId="166" fontId="0" fillId="6" borderId="1" xfId="0" applyNumberFormat="1" applyFill="1" applyBorder="1" applyAlignment="1">
      <alignment horizontal="center" vertical="center"/>
    </xf>
    <xf numFmtId="20" fontId="0" fillId="6" borderId="1" xfId="0" applyNumberFormat="1" applyFill="1" applyBorder="1" applyAlignment="1">
      <alignment horizontal="center"/>
    </xf>
    <xf numFmtId="166" fontId="0" fillId="4" borderId="0" xfId="0" applyNumberFormat="1" applyFill="1"/>
    <xf numFmtId="166" fontId="1" fillId="5" borderId="0" xfId="0" applyNumberFormat="1" applyFont="1" applyFill="1"/>
    <xf numFmtId="166" fontId="0" fillId="0" borderId="1" xfId="0" applyNumberFormat="1" applyBorder="1" applyAlignment="1">
      <alignment wrapText="1"/>
    </xf>
    <xf numFmtId="166" fontId="0" fillId="6" borderId="1" xfId="0" applyNumberFormat="1" applyFill="1" applyBorder="1" applyAlignment="1">
      <alignment wrapText="1"/>
    </xf>
    <xf numFmtId="0" fontId="5" fillId="0" borderId="1" xfId="0" applyFont="1" applyBorder="1"/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166" fontId="0" fillId="7" borderId="1" xfId="0" applyNumberFormat="1" applyFill="1" applyBorder="1" applyAlignment="1">
      <alignment wrapText="1"/>
    </xf>
    <xf numFmtId="166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/>
    <xf numFmtId="164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/>
    <xf numFmtId="166" fontId="5" fillId="7" borderId="1" xfId="0" applyNumberFormat="1" applyFont="1" applyFill="1" applyBorder="1"/>
    <xf numFmtId="166" fontId="5" fillId="7" borderId="1" xfId="0" applyNumberFormat="1" applyFont="1" applyFill="1" applyBorder="1" applyAlignment="1">
      <alignment horizontal="center" vertical="center" wrapText="1"/>
    </xf>
    <xf numFmtId="20" fontId="5" fillId="7" borderId="1" xfId="0" applyNumberFormat="1" applyFont="1" applyFill="1" applyBorder="1" applyAlignment="1">
      <alignment horizontal="center"/>
    </xf>
    <xf numFmtId="166" fontId="0" fillId="7" borderId="1" xfId="0" applyNumberFormat="1" applyFill="1" applyBorder="1"/>
    <xf numFmtId="20" fontId="0" fillId="7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/>
    <xf numFmtId="166" fontId="0" fillId="9" borderId="1" xfId="0" applyNumberFormat="1" applyFill="1" applyBorder="1" applyAlignment="1">
      <alignment wrapText="1"/>
    </xf>
    <xf numFmtId="166" fontId="0" fillId="9" borderId="1" xfId="0" applyNumberFormat="1" applyFill="1" applyBorder="1" applyAlignment="1">
      <alignment horizontal="center" vertical="center" wrapText="1"/>
    </xf>
    <xf numFmtId="20" fontId="0" fillId="9" borderId="1" xfId="0" applyNumberFormat="1" applyFill="1" applyBorder="1" applyAlignment="1">
      <alignment horizontal="center"/>
    </xf>
    <xf numFmtId="0" fontId="0" fillId="9" borderId="0" xfId="0" applyFill="1"/>
    <xf numFmtId="164" fontId="0" fillId="0" borderId="13" xfId="0" applyNumberFormat="1" applyBorder="1" applyAlignment="1">
      <alignment horizontal="center" vertical="center"/>
    </xf>
    <xf numFmtId="0" fontId="0" fillId="0" borderId="13" xfId="0" applyBorder="1"/>
    <xf numFmtId="0" fontId="5" fillId="9" borderId="1" xfId="0" applyFont="1" applyFill="1" applyBorder="1"/>
    <xf numFmtId="0" fontId="0" fillId="7" borderId="0" xfId="0" applyFill="1"/>
    <xf numFmtId="0" fontId="0" fillId="7" borderId="1" xfId="0" applyFill="1" applyBorder="1" applyAlignment="1">
      <alignment vertical="center" wrapText="1"/>
    </xf>
    <xf numFmtId="0" fontId="0" fillId="7" borderId="13" xfId="0" applyFill="1" applyBorder="1"/>
    <xf numFmtId="0" fontId="0" fillId="11" borderId="0" xfId="0" applyFill="1"/>
    <xf numFmtId="164" fontId="0" fillId="11" borderId="1" xfId="0" applyNumberFormat="1" applyFill="1" applyBorder="1" applyAlignment="1">
      <alignment horizontal="center" vertical="center"/>
    </xf>
    <xf numFmtId="0" fontId="5" fillId="11" borderId="1" xfId="0" applyFont="1" applyFill="1" applyBorder="1"/>
    <xf numFmtId="166" fontId="0" fillId="11" borderId="1" xfId="0" applyNumberFormat="1" applyFill="1" applyBorder="1" applyAlignment="1">
      <alignment wrapText="1"/>
    </xf>
    <xf numFmtId="166" fontId="0" fillId="11" borderId="1" xfId="0" applyNumberFormat="1" applyFill="1" applyBorder="1" applyAlignment="1">
      <alignment horizontal="center" vertical="center" wrapText="1"/>
    </xf>
    <xf numFmtId="20" fontId="0" fillId="11" borderId="1" xfId="0" applyNumberFormat="1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/>
    </xf>
    <xf numFmtId="0" fontId="1" fillId="12" borderId="0" xfId="0" applyFont="1" applyFill="1" applyAlignment="1">
      <alignment horizontal="center" vertical="center"/>
    </xf>
    <xf numFmtId="166" fontId="1" fillId="12" borderId="0" xfId="0" applyNumberFormat="1" applyFont="1" applyFill="1"/>
    <xf numFmtId="166" fontId="1" fillId="12" borderId="0" xfId="0" applyNumberFormat="1" applyFont="1" applyFill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7" borderId="1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66" fontId="0" fillId="4" borderId="1" xfId="0" applyNumberFormat="1" applyFill="1" applyBorder="1"/>
    <xf numFmtId="166" fontId="0" fillId="4" borderId="1" xfId="0" applyNumberForma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166" fontId="1" fillId="12" borderId="1" xfId="0" applyNumberFormat="1" applyFont="1" applyFill="1" applyBorder="1"/>
    <xf numFmtId="166" fontId="1" fillId="12" borderId="1" xfId="0" applyNumberFormat="1" applyFont="1" applyFill="1" applyBorder="1" applyAlignment="1">
      <alignment horizontal="center" vertical="center"/>
    </xf>
    <xf numFmtId="0" fontId="0" fillId="14" borderId="1" xfId="0" applyFill="1" applyBorder="1"/>
    <xf numFmtId="164" fontId="0" fillId="14" borderId="1" xfId="0" applyNumberFormat="1" applyFill="1" applyBorder="1" applyAlignment="1">
      <alignment horizontal="center" vertical="center"/>
    </xf>
    <xf numFmtId="166" fontId="0" fillId="14" borderId="1" xfId="0" applyNumberFormat="1" applyFill="1" applyBorder="1" applyAlignment="1">
      <alignment wrapText="1"/>
    </xf>
    <xf numFmtId="166" fontId="0" fillId="14" borderId="1" xfId="0" applyNumberFormat="1" applyFill="1" applyBorder="1" applyAlignment="1">
      <alignment horizontal="center" vertical="center" wrapText="1"/>
    </xf>
    <xf numFmtId="20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vertical="center"/>
    </xf>
    <xf numFmtId="0" fontId="0" fillId="14" borderId="1" xfId="0" applyFill="1" applyBorder="1" applyAlignment="1">
      <alignment vertical="center" wrapText="1"/>
    </xf>
    <xf numFmtId="0" fontId="5" fillId="14" borderId="1" xfId="0" applyFont="1" applyFill="1" applyBorder="1"/>
    <xf numFmtId="0" fontId="0" fillId="14" borderId="0" xfId="0" applyFill="1"/>
    <xf numFmtId="16" fontId="0" fillId="0" borderId="1" xfId="0" applyNumberFormat="1" applyBorder="1"/>
    <xf numFmtId="16" fontId="0" fillId="7" borderId="1" xfId="0" applyNumberFormat="1" applyFill="1" applyBorder="1"/>
    <xf numFmtId="166" fontId="0" fillId="0" borderId="1" xfId="0" applyNumberFormat="1" applyBorder="1" applyAlignment="1">
      <alignment vertical="center" wrapText="1"/>
    </xf>
    <xf numFmtId="167" fontId="0" fillId="4" borderId="1" xfId="0" applyNumberFormat="1" applyFill="1" applyBorder="1"/>
    <xf numFmtId="167" fontId="1" fillId="12" borderId="1" xfId="0" applyNumberFormat="1" applyFont="1" applyFill="1" applyBorder="1"/>
    <xf numFmtId="167" fontId="0" fillId="0" borderId="1" xfId="0" applyNumberFormat="1" applyBorder="1" applyAlignment="1">
      <alignment wrapText="1"/>
    </xf>
    <xf numFmtId="167" fontId="0" fillId="7" borderId="1" xfId="0" applyNumberFormat="1" applyFill="1" applyBorder="1" applyAlignment="1">
      <alignment wrapText="1"/>
    </xf>
    <xf numFmtId="167" fontId="0" fillId="0" borderId="0" xfId="0" applyNumberFormat="1"/>
    <xf numFmtId="164" fontId="0" fillId="7" borderId="2" xfId="0" applyNumberFormat="1" applyFill="1" applyBorder="1" applyAlignment="1">
      <alignment vertical="center"/>
    </xf>
    <xf numFmtId="164" fontId="0" fillId="7" borderId="3" xfId="0" applyNumberFormat="1" applyFill="1" applyBorder="1" applyAlignment="1">
      <alignment vertical="center"/>
    </xf>
    <xf numFmtId="164" fontId="0" fillId="7" borderId="4" xfId="0" applyNumberFormat="1" applyFill="1" applyBorder="1" applyAlignment="1">
      <alignment vertical="center"/>
    </xf>
    <xf numFmtId="164" fontId="0" fillId="0" borderId="6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11" xfId="0" applyNumberFormat="1" applyBorder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164" fontId="0" fillId="0" borderId="12" xfId="0" applyNumberFormat="1" applyBorder="1" applyAlignment="1">
      <alignment vertical="center"/>
    </xf>
    <xf numFmtId="166" fontId="0" fillId="7" borderId="2" xfId="0" applyNumberFormat="1" applyFill="1" applyBorder="1" applyAlignment="1">
      <alignment vertical="center" wrapText="1"/>
    </xf>
    <xf numFmtId="166" fontId="0" fillId="7" borderId="3" xfId="0" applyNumberFormat="1" applyFill="1" applyBorder="1" applyAlignment="1">
      <alignment vertical="center" wrapText="1"/>
    </xf>
    <xf numFmtId="166" fontId="0" fillId="7" borderId="4" xfId="0" applyNumberFormat="1" applyFill="1" applyBorder="1" applyAlignment="1">
      <alignment vertical="center" wrapText="1"/>
    </xf>
    <xf numFmtId="0" fontId="0" fillId="15" borderId="0" xfId="0" applyFill="1"/>
    <xf numFmtId="16" fontId="0" fillId="15" borderId="1" xfId="0" applyNumberFormat="1" applyFill="1" applyBorder="1"/>
    <xf numFmtId="0" fontId="0" fillId="15" borderId="1" xfId="0" applyFill="1" applyBorder="1"/>
    <xf numFmtId="166" fontId="0" fillId="15" borderId="1" xfId="0" applyNumberForma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/>
    </xf>
    <xf numFmtId="166" fontId="0" fillId="7" borderId="1" xfId="0" applyNumberFormat="1" applyFill="1" applyBorder="1" applyAlignment="1">
      <alignment vertical="center" wrapText="1"/>
    </xf>
    <xf numFmtId="167" fontId="0" fillId="7" borderId="1" xfId="0" applyNumberFormat="1" applyFill="1" applyBorder="1"/>
    <xf numFmtId="166" fontId="0" fillId="0" borderId="0" xfId="0" applyNumberFormat="1" applyAlignment="1">
      <alignment horizontal="center" vertical="center" wrapText="1"/>
    </xf>
    <xf numFmtId="167" fontId="0" fillId="0" borderId="1" xfId="0" applyNumberFormat="1" applyBorder="1"/>
    <xf numFmtId="166" fontId="0" fillId="16" borderId="1" xfId="0" applyNumberForma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167" fontId="0" fillId="4" borderId="1" xfId="0" applyNumberFormat="1" applyFill="1" applyBorder="1" applyAlignment="1">
      <alignment wrapText="1"/>
    </xf>
    <xf numFmtId="166" fontId="0" fillId="4" borderId="1" xfId="0" applyNumberFormat="1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 vertical="center" wrapText="1"/>
    </xf>
    <xf numFmtId="167" fontId="1" fillId="12" borderId="1" xfId="0" applyNumberFormat="1" applyFont="1" applyFill="1" applyBorder="1" applyAlignment="1">
      <alignment wrapText="1"/>
    </xf>
    <xf numFmtId="166" fontId="1" fillId="12" borderId="1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wrapText="1"/>
    </xf>
    <xf numFmtId="16" fontId="0" fillId="16" borderId="1" xfId="0" applyNumberFormat="1" applyFill="1" applyBorder="1" applyAlignment="1">
      <alignment wrapText="1"/>
    </xf>
    <xf numFmtId="0" fontId="0" fillId="0" borderId="1" xfId="0" applyBorder="1" applyAlignment="1">
      <alignment wrapText="1"/>
    </xf>
    <xf numFmtId="16" fontId="0" fillId="0" borderId="1" xfId="0" applyNumberFormat="1" applyBorder="1" applyAlignment="1">
      <alignment wrapText="1"/>
    </xf>
    <xf numFmtId="0" fontId="0" fillId="16" borderId="1" xfId="0" applyFill="1" applyBorder="1" applyAlignment="1">
      <alignment vertical="center" wrapText="1"/>
    </xf>
    <xf numFmtId="0" fontId="0" fillId="14" borderId="1" xfId="0" applyFill="1" applyBorder="1" applyAlignment="1">
      <alignment wrapText="1"/>
    </xf>
    <xf numFmtId="0" fontId="5" fillId="14" borderId="1" xfId="0" applyFont="1" applyFill="1" applyBorder="1" applyAlignment="1">
      <alignment wrapText="1"/>
    </xf>
    <xf numFmtId="0" fontId="5" fillId="16" borderId="1" xfId="0" applyFont="1" applyFill="1" applyBorder="1" applyAlignment="1">
      <alignment wrapText="1"/>
    </xf>
    <xf numFmtId="166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0" fontId="0" fillId="17" borderId="1" xfId="0" applyFill="1" applyBorder="1" applyAlignment="1">
      <alignment wrapText="1"/>
    </xf>
    <xf numFmtId="16" fontId="0" fillId="17" borderId="1" xfId="0" applyNumberFormat="1" applyFill="1" applyBorder="1" applyAlignment="1">
      <alignment wrapText="1"/>
    </xf>
    <xf numFmtId="166" fontId="0" fillId="17" borderId="1" xfId="0" applyNumberForma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0" fillId="18" borderId="1" xfId="0" applyFill="1" applyBorder="1" applyAlignment="1">
      <alignment wrapText="1"/>
    </xf>
    <xf numFmtId="16" fontId="0" fillId="18" borderId="1" xfId="0" applyNumberFormat="1" applyFill="1" applyBorder="1" applyAlignment="1">
      <alignment wrapText="1"/>
    </xf>
    <xf numFmtId="0" fontId="0" fillId="18" borderId="1" xfId="0" applyFill="1" applyBorder="1" applyAlignment="1">
      <alignment vertical="center" wrapText="1"/>
    </xf>
    <xf numFmtId="166" fontId="0" fillId="18" borderId="1" xfId="0" applyNumberForma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wrapText="1"/>
    </xf>
    <xf numFmtId="167" fontId="0" fillId="18" borderId="1" xfId="0" applyNumberFormat="1" applyFill="1" applyBorder="1" applyAlignment="1">
      <alignment wrapText="1"/>
    </xf>
    <xf numFmtId="166" fontId="0" fillId="18" borderId="1" xfId="0" applyNumberFormat="1" applyFill="1" applyBorder="1" applyAlignment="1">
      <alignment wrapText="1"/>
    </xf>
    <xf numFmtId="0" fontId="0" fillId="17" borderId="1" xfId="0" applyFill="1" applyBorder="1" applyAlignment="1">
      <alignment vertical="center" wrapText="1"/>
    </xf>
    <xf numFmtId="0" fontId="5" fillId="17" borderId="1" xfId="0" applyFont="1" applyFill="1" applyBorder="1" applyAlignment="1">
      <alignment wrapText="1"/>
    </xf>
    <xf numFmtId="16" fontId="0" fillId="0" borderId="0" xfId="0" applyNumberFormat="1" applyAlignment="1">
      <alignment wrapText="1"/>
    </xf>
    <xf numFmtId="0" fontId="0" fillId="20" borderId="1" xfId="0" applyFill="1" applyBorder="1" applyAlignment="1">
      <alignment wrapText="1"/>
    </xf>
    <xf numFmtId="16" fontId="0" fillId="20" borderId="1" xfId="0" applyNumberFormat="1" applyFill="1" applyBorder="1" applyAlignment="1">
      <alignment wrapText="1"/>
    </xf>
    <xf numFmtId="166" fontId="0" fillId="20" borderId="1" xfId="0" applyNumberFormat="1" applyFill="1" applyBorder="1" applyAlignment="1">
      <alignment horizontal="center" vertical="center" wrapText="1"/>
    </xf>
    <xf numFmtId="0" fontId="0" fillId="20" borderId="1" xfId="0" applyFill="1" applyBorder="1" applyAlignment="1">
      <alignment vertical="center" wrapText="1"/>
    </xf>
    <xf numFmtId="0" fontId="5" fillId="20" borderId="1" xfId="0" applyFont="1" applyFill="1" applyBorder="1" applyAlignment="1">
      <alignment wrapText="1"/>
    </xf>
    <xf numFmtId="0" fontId="5" fillId="20" borderId="1" xfId="0" applyFont="1" applyFill="1" applyBorder="1"/>
    <xf numFmtId="166" fontId="0" fillId="20" borderId="1" xfId="0" applyNumberFormat="1" applyFill="1" applyBorder="1" applyAlignment="1">
      <alignment vertical="center" wrapText="1"/>
    </xf>
    <xf numFmtId="0" fontId="0" fillId="13" borderId="1" xfId="0" applyFill="1" applyBorder="1" applyAlignment="1">
      <alignment wrapText="1"/>
    </xf>
    <xf numFmtId="16" fontId="0" fillId="13" borderId="1" xfId="0" applyNumberFormat="1" applyFill="1" applyBorder="1" applyAlignment="1">
      <alignment wrapText="1"/>
    </xf>
    <xf numFmtId="166" fontId="0" fillId="13" borderId="1" xfId="0" applyNumberFormat="1" applyFill="1" applyBorder="1" applyAlignment="1">
      <alignment horizontal="center" vertical="center" wrapText="1"/>
    </xf>
    <xf numFmtId="0" fontId="0" fillId="21" borderId="1" xfId="0" applyFill="1" applyBorder="1" applyAlignment="1">
      <alignment wrapText="1"/>
    </xf>
    <xf numFmtId="16" fontId="0" fillId="21" borderId="1" xfId="0" applyNumberFormat="1" applyFill="1" applyBorder="1" applyAlignment="1">
      <alignment wrapText="1"/>
    </xf>
    <xf numFmtId="166" fontId="0" fillId="21" borderId="1" xfId="0" applyNumberForma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wrapText="1"/>
    </xf>
    <xf numFmtId="0" fontId="0" fillId="9" borderId="1" xfId="0" applyFill="1" applyBorder="1" applyAlignment="1">
      <alignment wrapText="1"/>
    </xf>
    <xf numFmtId="16" fontId="0" fillId="9" borderId="1" xfId="0" applyNumberFormat="1" applyFill="1" applyBorder="1" applyAlignment="1">
      <alignment wrapText="1"/>
    </xf>
    <xf numFmtId="0" fontId="0" fillId="9" borderId="1" xfId="0" applyFill="1" applyBorder="1" applyAlignment="1">
      <alignment vertical="center" wrapText="1"/>
    </xf>
    <xf numFmtId="0" fontId="5" fillId="9" borderId="1" xfId="0" applyFont="1" applyFill="1" applyBorder="1" applyAlignment="1">
      <alignment wrapText="1"/>
    </xf>
    <xf numFmtId="167" fontId="0" fillId="9" borderId="1" xfId="0" applyNumberFormat="1" applyFill="1" applyBorder="1" applyAlignment="1">
      <alignment horizontal="center" wrapText="1"/>
    </xf>
    <xf numFmtId="166" fontId="0" fillId="0" borderId="1" xfId="0" applyNumberFormat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16" borderId="16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22" borderId="19" xfId="0" applyFill="1" applyBorder="1" applyAlignment="1">
      <alignment horizontal="center" vertical="center" wrapText="1"/>
    </xf>
    <xf numFmtId="0" fontId="0" fillId="23" borderId="19" xfId="0" applyFill="1" applyBorder="1" applyAlignment="1">
      <alignment horizontal="center" vertical="center" wrapText="1"/>
    </xf>
    <xf numFmtId="0" fontId="0" fillId="11" borderId="19" xfId="0" applyFill="1" applyBorder="1" applyAlignment="1">
      <alignment horizontal="center" vertical="center" wrapText="1"/>
    </xf>
    <xf numFmtId="0" fontId="1" fillId="12" borderId="22" xfId="0" applyFont="1" applyFill="1" applyBorder="1" applyAlignment="1">
      <alignment horizontal="center" vertical="center" wrapText="1"/>
    </xf>
    <xf numFmtId="0" fontId="0" fillId="0" borderId="24" xfId="0" applyBorder="1" applyAlignment="1">
      <alignment wrapText="1"/>
    </xf>
    <xf numFmtId="0" fontId="0" fillId="0" borderId="20" xfId="0" applyBorder="1" applyAlignment="1">
      <alignment wrapText="1"/>
    </xf>
    <xf numFmtId="166" fontId="0" fillId="0" borderId="20" xfId="0" applyNumberFormat="1" applyBorder="1" applyAlignment="1">
      <alignment horizontal="center" vertical="center" wrapText="1"/>
    </xf>
    <xf numFmtId="166" fontId="0" fillId="0" borderId="20" xfId="0" applyNumberFormat="1" applyBorder="1" applyAlignment="1">
      <alignment horizontal="center"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wrapText="1"/>
    </xf>
    <xf numFmtId="167" fontId="0" fillId="0" borderId="26" xfId="0" applyNumberFormat="1" applyBorder="1" applyAlignment="1">
      <alignment wrapText="1"/>
    </xf>
    <xf numFmtId="166" fontId="0" fillId="0" borderId="26" xfId="0" applyNumberFormat="1" applyBorder="1" applyAlignment="1">
      <alignment wrapText="1"/>
    </xf>
    <xf numFmtId="166" fontId="0" fillId="0" borderId="27" xfId="0" applyNumberForma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4" borderId="20" xfId="0" applyFill="1" applyBorder="1" applyAlignment="1">
      <alignment horizontal="center" wrapText="1"/>
    </xf>
    <xf numFmtId="0" fontId="1" fillId="12" borderId="13" xfId="0" applyFont="1" applyFill="1" applyBorder="1" applyAlignment="1">
      <alignment horizontal="center" vertical="center" wrapText="1"/>
    </xf>
    <xf numFmtId="0" fontId="1" fillId="12" borderId="15" xfId="0" applyFont="1" applyFill="1" applyBorder="1" applyAlignment="1">
      <alignment horizontal="center" vertical="center" wrapText="1"/>
    </xf>
    <xf numFmtId="167" fontId="1" fillId="12" borderId="13" xfId="0" applyNumberFormat="1" applyFont="1" applyFill="1" applyBorder="1" applyAlignment="1">
      <alignment horizontal="center" vertical="center" wrapText="1"/>
    </xf>
    <xf numFmtId="167" fontId="1" fillId="12" borderId="15" xfId="0" applyNumberFormat="1" applyFont="1" applyFill="1" applyBorder="1" applyAlignment="1">
      <alignment horizontal="center" vertical="center" wrapText="1"/>
    </xf>
    <xf numFmtId="166" fontId="1" fillId="12" borderId="13" xfId="0" applyNumberFormat="1" applyFont="1" applyFill="1" applyBorder="1" applyAlignment="1">
      <alignment horizontal="center" vertical="center" wrapText="1"/>
    </xf>
    <xf numFmtId="166" fontId="1" fillId="12" borderId="15" xfId="0" applyNumberFormat="1" applyFont="1" applyFill="1" applyBorder="1" applyAlignment="1">
      <alignment horizontal="center" vertical="center" wrapText="1"/>
    </xf>
    <xf numFmtId="0" fontId="1" fillId="12" borderId="21" xfId="0" applyFont="1" applyFill="1" applyBorder="1" applyAlignment="1">
      <alignment horizontal="center" vertical="center" wrapText="1"/>
    </xf>
    <xf numFmtId="0" fontId="1" fillId="12" borderId="23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5" fillId="9" borderId="1" xfId="0" applyFont="1" applyFill="1" applyBorder="1" applyAlignment="1">
      <alignment horizontal="center" vertical="center" wrapText="1"/>
    </xf>
    <xf numFmtId="164" fontId="0" fillId="9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0" fillId="16" borderId="1" xfId="0" applyNumberFormat="1" applyFill="1" applyBorder="1" applyAlignment="1">
      <alignment horizontal="center" vertical="center" wrapText="1"/>
    </xf>
    <xf numFmtId="164" fontId="0" fillId="17" borderId="1" xfId="0" applyNumberForma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164" fontId="0" fillId="16" borderId="2" xfId="0" applyNumberFormat="1" applyFill="1" applyBorder="1" applyAlignment="1">
      <alignment horizontal="center" vertical="center" wrapText="1"/>
    </xf>
    <xf numFmtId="164" fontId="0" fillId="16" borderId="3" xfId="0" applyNumberFormat="1" applyFill="1" applyBorder="1" applyAlignment="1">
      <alignment horizontal="center" vertical="center" wrapText="1"/>
    </xf>
    <xf numFmtId="164" fontId="0" fillId="16" borderId="4" xfId="0" applyNumberForma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center" vertical="center" wrapText="1"/>
    </xf>
    <xf numFmtId="0" fontId="5" fillId="17" borderId="4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5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 wrapText="1"/>
    </xf>
    <xf numFmtId="164" fontId="0" fillId="20" borderId="1" xfId="0" applyNumberForma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166" fontId="0" fillId="0" borderId="5" xfId="0" applyNumberFormat="1" applyBorder="1" applyAlignment="1">
      <alignment horizontal="center" vertical="center" wrapText="1"/>
    </xf>
    <xf numFmtId="166" fontId="0" fillId="0" borderId="6" xfId="0" applyNumberFormat="1" applyBorder="1" applyAlignment="1">
      <alignment horizontal="center" vertical="center" wrapText="1"/>
    </xf>
    <xf numFmtId="166" fontId="0" fillId="0" borderId="7" xfId="0" applyNumberFormat="1" applyBorder="1" applyAlignment="1">
      <alignment horizontal="center" vertical="center" wrapText="1"/>
    </xf>
    <xf numFmtId="166" fontId="0" fillId="0" borderId="8" xfId="0" applyNumberFormat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6" fontId="0" fillId="0" borderId="9" xfId="0" applyNumberFormat="1" applyBorder="1" applyAlignment="1">
      <alignment horizontal="center" vertical="center" wrapText="1"/>
    </xf>
    <xf numFmtId="166" fontId="0" fillId="0" borderId="10" xfId="0" applyNumberForma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 wrapText="1"/>
    </xf>
    <xf numFmtId="166" fontId="0" fillId="0" borderId="12" xfId="0" applyNumberFormat="1" applyBorder="1" applyAlignment="1">
      <alignment horizontal="center" vertical="center" wrapText="1"/>
    </xf>
    <xf numFmtId="0" fontId="0" fillId="20" borderId="2" xfId="0" applyFill="1" applyBorder="1" applyAlignment="1">
      <alignment horizontal="center" wrapText="1"/>
    </xf>
    <xf numFmtId="0" fontId="0" fillId="20" borderId="3" xfId="0" applyFill="1" applyBorder="1" applyAlignment="1">
      <alignment horizontal="center" wrapText="1"/>
    </xf>
    <xf numFmtId="0" fontId="0" fillId="20" borderId="4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17" borderId="1" xfId="0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>
      <alignment horizontal="center" vertical="center" wrapText="1"/>
    </xf>
    <xf numFmtId="0" fontId="5" fillId="18" borderId="4" xfId="0" applyFont="1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wrapText="1"/>
    </xf>
    <xf numFmtId="0" fontId="0" fillId="18" borderId="3" xfId="0" applyFill="1" applyBorder="1" applyAlignment="1">
      <alignment horizontal="center" wrapText="1"/>
    </xf>
    <xf numFmtId="0" fontId="0" fillId="18" borderId="4" xfId="0" applyFill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0" fillId="18" borderId="1" xfId="0" applyFill="1" applyBorder="1" applyAlignment="1">
      <alignment horizontal="center" wrapText="1"/>
    </xf>
    <xf numFmtId="164" fontId="0" fillId="18" borderId="1" xfId="0" applyNumberForma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6" fontId="0" fillId="0" borderId="2" xfId="0" applyNumberFormat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164" fontId="0" fillId="7" borderId="2" xfId="0" applyNumberForma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164" fontId="0" fillId="7" borderId="4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64" fontId="0" fillId="7" borderId="10" xfId="0" applyNumberFormat="1" applyFill="1" applyBorder="1" applyAlignment="1">
      <alignment horizontal="center" vertical="center"/>
    </xf>
    <xf numFmtId="164" fontId="0" fillId="7" borderId="11" xfId="0" applyNumberFormat="1" applyFill="1" applyBorder="1" applyAlignment="1">
      <alignment horizontal="center" vertical="center"/>
    </xf>
    <xf numFmtId="164" fontId="0" fillId="7" borderId="12" xfId="0" applyNumberForma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/>
    </xf>
    <xf numFmtId="20" fontId="0" fillId="0" borderId="3" xfId="0" applyNumberFormat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164" fontId="0" fillId="7" borderId="2" xfId="0" quotePrefix="1" applyNumberForma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0" fillId="0" borderId="2" xfId="0" quotePrefix="1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164" fontId="5" fillId="14" borderId="1" xfId="0" applyNumberFormat="1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164" fontId="0" fillId="11" borderId="1" xfId="0" applyNumberFormat="1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164" fontId="0" fillId="7" borderId="13" xfId="0" applyNumberForma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4" fontId="0" fillId="10" borderId="1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147D-6033-4AC5-82AD-9559DABC7C9F}">
  <dimension ref="A1:O1048570"/>
  <sheetViews>
    <sheetView tabSelected="1" zoomScaleNormal="100" workbookViewId="0">
      <selection activeCell="C14" sqref="C14:I14"/>
    </sheetView>
  </sheetViews>
  <sheetFormatPr defaultColWidth="9.140625" defaultRowHeight="15" x14ac:dyDescent="0.25"/>
  <cols>
    <col min="1" max="1" width="19.28515625" style="125" customWidth="1"/>
    <col min="2" max="2" width="18.42578125" style="125" customWidth="1"/>
    <col min="3" max="4" width="9.140625" style="125"/>
    <col min="5" max="5" width="49.140625" style="125" customWidth="1"/>
    <col min="6" max="6" width="33.5703125" style="125" customWidth="1"/>
    <col min="7" max="8" width="9.140625" style="125"/>
    <col min="9" max="9" width="38" style="125" customWidth="1"/>
    <col min="10" max="10" width="12.28515625" style="125" customWidth="1"/>
    <col min="11" max="11" width="12.7109375" style="142" customWidth="1"/>
    <col min="12" max="12" width="10.28515625" style="141" bestFit="1" customWidth="1"/>
    <col min="13" max="13" width="23" style="125" customWidth="1"/>
    <col min="14" max="16384" width="9.140625" style="125"/>
  </cols>
  <sheetData>
    <row r="1" spans="1:13" ht="18.75" x14ac:dyDescent="0.3">
      <c r="A1" s="178" t="s">
        <v>758</v>
      </c>
      <c r="B1" s="198" t="s">
        <v>761</v>
      </c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3" x14ac:dyDescent="0.25">
      <c r="A2" s="179" t="s">
        <v>267</v>
      </c>
      <c r="B2" s="126" t="s">
        <v>1</v>
      </c>
      <c r="C2" s="200"/>
      <c r="D2" s="200"/>
      <c r="E2" s="200"/>
      <c r="F2" s="126" t="s">
        <v>8</v>
      </c>
      <c r="G2" s="200"/>
      <c r="H2" s="200"/>
      <c r="I2" s="200"/>
      <c r="J2" s="200"/>
      <c r="K2" s="200"/>
      <c r="L2" s="200"/>
      <c r="M2" s="201"/>
    </row>
    <row r="3" spans="1:13" x14ac:dyDescent="0.25">
      <c r="A3" s="180" t="s">
        <v>759</v>
      </c>
      <c r="B3" s="126" t="s">
        <v>2</v>
      </c>
      <c r="C3" s="200"/>
      <c r="D3" s="200"/>
      <c r="E3" s="200"/>
      <c r="F3" s="126" t="s">
        <v>3</v>
      </c>
      <c r="G3" s="200"/>
      <c r="H3" s="200"/>
      <c r="I3" s="200"/>
      <c r="J3" s="200"/>
      <c r="K3" s="200"/>
      <c r="L3" s="200"/>
      <c r="M3" s="201"/>
    </row>
    <row r="4" spans="1:13" x14ac:dyDescent="0.25">
      <c r="A4" s="181" t="s">
        <v>704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3"/>
    </row>
    <row r="5" spans="1:13" ht="15" customHeight="1" x14ac:dyDescent="0.25">
      <c r="A5" s="182" t="s">
        <v>760</v>
      </c>
      <c r="B5" s="204" t="s">
        <v>7</v>
      </c>
      <c r="C5" s="197" t="s">
        <v>4</v>
      </c>
      <c r="D5" s="197"/>
      <c r="E5" s="197"/>
      <c r="F5" s="197"/>
      <c r="G5" s="197"/>
      <c r="H5" s="197"/>
      <c r="I5" s="197"/>
      <c r="J5" s="206" t="s">
        <v>5</v>
      </c>
      <c r="K5" s="208" t="s">
        <v>6</v>
      </c>
      <c r="L5" s="204" t="s">
        <v>491</v>
      </c>
      <c r="M5" s="210" t="s">
        <v>762</v>
      </c>
    </row>
    <row r="6" spans="1:13" ht="15" customHeight="1" x14ac:dyDescent="0.25">
      <c r="A6" s="183" t="s">
        <v>757</v>
      </c>
      <c r="B6" s="205"/>
      <c r="C6" s="197"/>
      <c r="D6" s="197"/>
      <c r="E6" s="197"/>
      <c r="F6" s="197"/>
      <c r="G6" s="197"/>
      <c r="H6" s="197"/>
      <c r="I6" s="197"/>
      <c r="J6" s="207"/>
      <c r="K6" s="209"/>
      <c r="L6" s="205"/>
      <c r="M6" s="211"/>
    </row>
    <row r="7" spans="1:13" x14ac:dyDescent="0.25">
      <c r="A7" s="184"/>
      <c r="B7" s="136"/>
      <c r="C7" s="194"/>
      <c r="D7" s="194"/>
      <c r="E7" s="194"/>
      <c r="F7" s="194"/>
      <c r="G7" s="194"/>
      <c r="H7" s="194"/>
      <c r="I7" s="194"/>
      <c r="J7" s="135"/>
      <c r="K7" s="100"/>
      <c r="L7" s="35"/>
      <c r="M7" s="185"/>
    </row>
    <row r="8" spans="1:13" x14ac:dyDescent="0.25">
      <c r="A8" s="184"/>
      <c r="B8" s="136"/>
      <c r="C8" s="194"/>
      <c r="D8" s="194"/>
      <c r="E8" s="194"/>
      <c r="F8" s="194"/>
      <c r="G8" s="194"/>
      <c r="H8" s="194"/>
      <c r="I8" s="194"/>
      <c r="J8" s="135"/>
      <c r="K8" s="21"/>
      <c r="L8" s="21"/>
      <c r="M8" s="186"/>
    </row>
    <row r="9" spans="1:13" x14ac:dyDescent="0.25">
      <c r="A9" s="184"/>
      <c r="B9" s="136"/>
      <c r="C9" s="194"/>
      <c r="D9" s="194"/>
      <c r="E9" s="194"/>
      <c r="F9" s="194"/>
      <c r="G9" s="194"/>
      <c r="H9" s="194"/>
      <c r="I9" s="194"/>
      <c r="J9" s="135"/>
      <c r="K9" s="170"/>
      <c r="L9" s="176"/>
      <c r="M9" s="187"/>
    </row>
    <row r="10" spans="1:13" x14ac:dyDescent="0.25">
      <c r="A10" s="184"/>
      <c r="B10" s="136"/>
      <c r="C10" s="194"/>
      <c r="D10" s="194"/>
      <c r="E10" s="194"/>
      <c r="F10" s="194"/>
      <c r="G10" s="194"/>
      <c r="H10" s="194"/>
      <c r="I10" s="194"/>
      <c r="J10" s="51"/>
      <c r="K10" s="21"/>
      <c r="L10" s="21"/>
      <c r="M10" s="186"/>
    </row>
    <row r="11" spans="1:13" x14ac:dyDescent="0.25">
      <c r="A11" s="184"/>
      <c r="B11" s="136"/>
      <c r="C11" s="194"/>
      <c r="D11" s="194"/>
      <c r="E11" s="194"/>
      <c r="F11" s="194"/>
      <c r="G11" s="194"/>
      <c r="H11" s="194"/>
      <c r="I11" s="194"/>
      <c r="J11" s="51"/>
      <c r="K11" s="21"/>
      <c r="L11" s="21"/>
      <c r="M11" s="186"/>
    </row>
    <row r="12" spans="1:13" x14ac:dyDescent="0.25">
      <c r="A12" s="184"/>
      <c r="B12" s="136"/>
      <c r="C12" s="196"/>
      <c r="D12" s="196"/>
      <c r="E12" s="196"/>
      <c r="F12" s="196"/>
      <c r="G12" s="196"/>
      <c r="H12" s="196"/>
      <c r="I12" s="196"/>
      <c r="J12" s="51"/>
      <c r="K12" s="21"/>
      <c r="L12" s="21"/>
      <c r="M12" s="186"/>
    </row>
    <row r="13" spans="1:13" x14ac:dyDescent="0.25">
      <c r="A13" s="184"/>
      <c r="B13" s="136"/>
      <c r="C13" s="194"/>
      <c r="D13" s="194"/>
      <c r="E13" s="194"/>
      <c r="F13" s="194"/>
      <c r="G13" s="194"/>
      <c r="H13" s="194"/>
      <c r="I13" s="194"/>
      <c r="J13" s="135"/>
      <c r="K13" s="21"/>
      <c r="L13" s="21"/>
      <c r="M13" s="186"/>
    </row>
    <row r="14" spans="1:13" x14ac:dyDescent="0.25">
      <c r="A14" s="184"/>
      <c r="B14" s="136"/>
      <c r="C14" s="194"/>
      <c r="D14" s="194"/>
      <c r="E14" s="194"/>
      <c r="F14" s="194"/>
      <c r="G14" s="194"/>
      <c r="H14" s="194"/>
      <c r="I14" s="194"/>
      <c r="J14" s="135"/>
      <c r="K14" s="21"/>
      <c r="L14" s="21"/>
      <c r="M14" s="186"/>
    </row>
    <row r="15" spans="1:13" x14ac:dyDescent="0.25">
      <c r="A15" s="184"/>
      <c r="B15" s="136"/>
      <c r="C15" s="194"/>
      <c r="D15" s="194"/>
      <c r="E15" s="194"/>
      <c r="F15" s="194"/>
      <c r="G15" s="194"/>
      <c r="H15" s="194"/>
      <c r="I15" s="194"/>
      <c r="J15" s="177"/>
      <c r="K15" s="21"/>
      <c r="L15" s="21"/>
      <c r="M15" s="186"/>
    </row>
    <row r="16" spans="1:13" ht="15" customHeight="1" x14ac:dyDescent="0.25">
      <c r="A16" s="184"/>
      <c r="B16" s="136"/>
      <c r="C16" s="194"/>
      <c r="D16" s="194"/>
      <c r="E16" s="194"/>
      <c r="F16" s="194"/>
      <c r="G16" s="194"/>
      <c r="H16" s="194"/>
      <c r="I16" s="194"/>
      <c r="J16" s="51"/>
      <c r="K16" s="21"/>
      <c r="L16" s="21"/>
      <c r="M16" s="186"/>
    </row>
    <row r="17" spans="1:15" x14ac:dyDescent="0.25">
      <c r="A17" s="184"/>
      <c r="B17" s="136"/>
      <c r="C17" s="194"/>
      <c r="D17" s="194"/>
      <c r="E17" s="194"/>
      <c r="F17" s="194"/>
      <c r="G17" s="194"/>
      <c r="H17" s="194"/>
      <c r="I17" s="194"/>
      <c r="J17" s="51"/>
      <c r="K17" s="21"/>
      <c r="L17" s="21"/>
      <c r="M17" s="186"/>
    </row>
    <row r="18" spans="1:15" ht="15" customHeight="1" x14ac:dyDescent="0.25">
      <c r="A18" s="184"/>
      <c r="B18" s="136"/>
      <c r="C18" s="194"/>
      <c r="D18" s="194"/>
      <c r="E18" s="194"/>
      <c r="F18" s="194"/>
      <c r="G18" s="194"/>
      <c r="H18" s="194"/>
      <c r="I18" s="194"/>
      <c r="J18" s="135"/>
      <c r="K18" s="21"/>
      <c r="L18" s="21"/>
      <c r="M18" s="186"/>
    </row>
    <row r="19" spans="1:15" x14ac:dyDescent="0.25">
      <c r="A19" s="184"/>
      <c r="B19" s="136"/>
      <c r="C19" s="196"/>
      <c r="D19" s="196"/>
      <c r="E19" s="196"/>
      <c r="F19" s="196"/>
      <c r="G19" s="196"/>
      <c r="H19" s="196"/>
      <c r="I19" s="196"/>
      <c r="J19" s="135"/>
      <c r="K19" s="21"/>
      <c r="L19" s="21"/>
      <c r="M19" s="186"/>
      <c r="O19" s="125" t="s">
        <v>756</v>
      </c>
    </row>
    <row r="20" spans="1:15" ht="15" customHeight="1" x14ac:dyDescent="0.25">
      <c r="A20" s="184"/>
      <c r="B20" s="136"/>
      <c r="C20" s="194"/>
      <c r="D20" s="194"/>
      <c r="E20" s="194"/>
      <c r="F20" s="194"/>
      <c r="G20" s="194"/>
      <c r="H20" s="194"/>
      <c r="I20" s="194"/>
      <c r="J20" s="135"/>
      <c r="K20" s="21"/>
      <c r="L20" s="21"/>
      <c r="M20" s="186"/>
    </row>
    <row r="21" spans="1:15" x14ac:dyDescent="0.25">
      <c r="A21" s="184"/>
      <c r="B21" s="136"/>
      <c r="C21" s="194"/>
      <c r="D21" s="194"/>
      <c r="E21" s="194"/>
      <c r="F21" s="194"/>
      <c r="G21" s="194"/>
      <c r="H21" s="194"/>
      <c r="I21" s="194"/>
      <c r="J21" s="135"/>
      <c r="K21" s="21"/>
      <c r="L21" s="21"/>
      <c r="M21" s="186"/>
    </row>
    <row r="22" spans="1:15" x14ac:dyDescent="0.25">
      <c r="A22" s="184"/>
      <c r="B22" s="136"/>
      <c r="C22" s="194"/>
      <c r="D22" s="194"/>
      <c r="E22" s="194"/>
      <c r="F22" s="194"/>
      <c r="G22" s="194"/>
      <c r="H22" s="194"/>
      <c r="I22" s="194"/>
      <c r="J22" s="135"/>
      <c r="K22" s="21"/>
      <c r="L22" s="21"/>
      <c r="M22" s="186"/>
    </row>
    <row r="23" spans="1:15" x14ac:dyDescent="0.25">
      <c r="A23" s="184"/>
      <c r="B23" s="136"/>
      <c r="C23" s="194"/>
      <c r="D23" s="194"/>
      <c r="E23" s="194"/>
      <c r="F23" s="194"/>
      <c r="G23" s="194"/>
      <c r="H23" s="194"/>
      <c r="I23" s="194"/>
      <c r="J23" s="135"/>
      <c r="K23" s="21"/>
      <c r="L23" s="21"/>
      <c r="M23" s="186"/>
    </row>
    <row r="24" spans="1:15" x14ac:dyDescent="0.25">
      <c r="A24" s="184"/>
      <c r="B24" s="136"/>
      <c r="C24" s="194"/>
      <c r="D24" s="194"/>
      <c r="E24" s="194"/>
      <c r="F24" s="194"/>
      <c r="G24" s="194"/>
      <c r="H24" s="194"/>
      <c r="I24" s="194"/>
      <c r="J24" s="146"/>
      <c r="K24" s="21"/>
      <c r="L24" s="21"/>
      <c r="M24" s="186"/>
    </row>
    <row r="25" spans="1:15" x14ac:dyDescent="0.25">
      <c r="A25" s="184"/>
      <c r="B25" s="136"/>
      <c r="C25" s="194"/>
      <c r="D25" s="194"/>
      <c r="E25" s="194"/>
      <c r="F25" s="194"/>
      <c r="G25" s="194"/>
      <c r="H25" s="194"/>
      <c r="I25" s="194"/>
      <c r="J25" s="146"/>
      <c r="K25" s="21"/>
      <c r="L25" s="21"/>
      <c r="M25" s="186"/>
    </row>
    <row r="26" spans="1:15" customFormat="1" x14ac:dyDescent="0.25">
      <c r="A26" s="184"/>
      <c r="B26" s="136"/>
      <c r="C26" s="195"/>
      <c r="D26" s="195"/>
      <c r="E26" s="195"/>
      <c r="F26" s="195"/>
      <c r="G26" s="195"/>
      <c r="H26" s="195"/>
      <c r="I26" s="195"/>
      <c r="J26" s="37"/>
      <c r="K26" s="21"/>
      <c r="L26" s="21"/>
      <c r="M26" s="186"/>
    </row>
    <row r="27" spans="1:15" x14ac:dyDescent="0.25">
      <c r="A27" s="184"/>
      <c r="B27" s="136"/>
      <c r="C27" s="194"/>
      <c r="D27" s="194"/>
      <c r="E27" s="194"/>
      <c r="F27" s="194"/>
      <c r="G27" s="194"/>
      <c r="H27" s="194"/>
      <c r="I27" s="194"/>
      <c r="J27" s="51"/>
      <c r="K27" s="21"/>
      <c r="L27" s="21"/>
      <c r="M27" s="186"/>
    </row>
    <row r="28" spans="1:15" x14ac:dyDescent="0.25">
      <c r="A28" s="184"/>
      <c r="B28" s="136"/>
      <c r="C28" s="194"/>
      <c r="D28" s="194"/>
      <c r="E28" s="194"/>
      <c r="F28" s="194"/>
      <c r="G28" s="194"/>
      <c r="H28" s="194"/>
      <c r="I28" s="194"/>
      <c r="J28" s="135"/>
      <c r="K28" s="21"/>
      <c r="L28" s="21"/>
      <c r="M28" s="186"/>
    </row>
    <row r="29" spans="1:15" x14ac:dyDescent="0.25">
      <c r="A29" s="184"/>
      <c r="B29" s="136"/>
      <c r="C29" s="194"/>
      <c r="D29" s="194"/>
      <c r="E29" s="194"/>
      <c r="F29" s="194"/>
      <c r="G29" s="194"/>
      <c r="H29" s="194"/>
      <c r="I29" s="194"/>
      <c r="J29" s="135"/>
      <c r="K29" s="21"/>
      <c r="L29" s="21"/>
      <c r="M29" s="186"/>
    </row>
    <row r="30" spans="1:15" ht="15" customHeight="1" x14ac:dyDescent="0.25">
      <c r="A30" s="184"/>
      <c r="B30" s="136"/>
      <c r="C30" s="194"/>
      <c r="D30" s="194"/>
      <c r="E30" s="194"/>
      <c r="F30" s="194"/>
      <c r="G30" s="194"/>
      <c r="H30" s="194"/>
      <c r="I30" s="194"/>
      <c r="J30" s="135"/>
      <c r="K30" s="21"/>
      <c r="L30" s="21"/>
      <c r="M30" s="186"/>
    </row>
    <row r="31" spans="1:15" ht="15" customHeight="1" x14ac:dyDescent="0.25">
      <c r="A31" s="184"/>
      <c r="B31" s="136"/>
      <c r="C31" s="194"/>
      <c r="D31" s="194"/>
      <c r="E31" s="194"/>
      <c r="F31" s="194"/>
      <c r="G31" s="194"/>
      <c r="H31" s="194"/>
      <c r="I31" s="194"/>
      <c r="J31" s="135"/>
      <c r="K31" s="21"/>
      <c r="L31" s="21"/>
      <c r="M31" s="186"/>
    </row>
    <row r="32" spans="1:15" x14ac:dyDescent="0.25">
      <c r="A32" s="184"/>
      <c r="B32" s="136"/>
      <c r="C32" s="194"/>
      <c r="D32" s="194"/>
      <c r="E32" s="194"/>
      <c r="F32" s="194"/>
      <c r="G32" s="194"/>
      <c r="H32" s="194"/>
      <c r="I32" s="194"/>
      <c r="J32" s="135"/>
      <c r="K32" s="21"/>
      <c r="L32" s="21"/>
      <c r="M32" s="186"/>
    </row>
    <row r="33" spans="1:13" x14ac:dyDescent="0.25">
      <c r="A33" s="184"/>
      <c r="B33" s="136"/>
      <c r="C33" s="194"/>
      <c r="D33" s="194"/>
      <c r="E33" s="194"/>
      <c r="F33" s="194"/>
      <c r="G33" s="194"/>
      <c r="H33" s="194"/>
      <c r="I33" s="194"/>
      <c r="J33" s="135"/>
      <c r="K33" s="21"/>
      <c r="L33" s="21"/>
      <c r="M33" s="186"/>
    </row>
    <row r="34" spans="1:13" x14ac:dyDescent="0.25">
      <c r="A34" s="184"/>
      <c r="B34" s="136"/>
      <c r="C34" s="195"/>
      <c r="D34" s="195"/>
      <c r="E34" s="195"/>
      <c r="F34" s="195"/>
      <c r="G34" s="195"/>
      <c r="H34" s="195"/>
      <c r="I34" s="195"/>
      <c r="J34" s="135"/>
      <c r="K34" s="21"/>
      <c r="L34" s="35"/>
      <c r="M34" s="186"/>
    </row>
    <row r="35" spans="1:13" x14ac:dyDescent="0.25">
      <c r="A35" s="184"/>
      <c r="B35" s="136"/>
      <c r="C35" s="195"/>
      <c r="D35" s="195"/>
      <c r="E35" s="195"/>
      <c r="F35" s="195"/>
      <c r="G35" s="195"/>
      <c r="H35" s="195"/>
      <c r="I35" s="195"/>
      <c r="J35" s="135"/>
      <c r="K35" s="21"/>
      <c r="L35" s="35"/>
      <c r="M35" s="186"/>
    </row>
    <row r="36" spans="1:13" ht="15" customHeight="1" thickBot="1" x14ac:dyDescent="0.3">
      <c r="A36" s="188"/>
      <c r="B36" s="189"/>
      <c r="C36" s="193"/>
      <c r="D36" s="193"/>
      <c r="E36" s="193"/>
      <c r="F36" s="193"/>
      <c r="G36" s="193"/>
      <c r="H36" s="193"/>
      <c r="I36" s="193"/>
      <c r="J36" s="189"/>
      <c r="K36" s="190"/>
      <c r="L36" s="191"/>
      <c r="M36" s="192"/>
    </row>
    <row r="1048570" spans="11:12" x14ac:dyDescent="0.25">
      <c r="K1048570" s="21"/>
      <c r="L1048570" s="21"/>
    </row>
  </sheetData>
  <mergeCells count="42">
    <mergeCell ref="C5:I6"/>
    <mergeCell ref="B1:M1"/>
    <mergeCell ref="C2:E2"/>
    <mergeCell ref="G2:M2"/>
    <mergeCell ref="C3:E3"/>
    <mergeCell ref="G3:M3"/>
    <mergeCell ref="B4:M4"/>
    <mergeCell ref="B5:B6"/>
    <mergeCell ref="J5:J6"/>
    <mergeCell ref="K5:K6"/>
    <mergeCell ref="L5:L6"/>
    <mergeCell ref="M5:M6"/>
    <mergeCell ref="C17:I17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29:I29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36:I36"/>
    <mergeCell ref="C30:I30"/>
    <mergeCell ref="C31:I31"/>
    <mergeCell ref="C32:I32"/>
    <mergeCell ref="C33:I33"/>
    <mergeCell ref="C34:I34"/>
    <mergeCell ref="C35:I35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72CECC7-1BBA-4869-96AB-65A6DE1DBD9D}">
          <x14:formula1>
            <xm:f>'TIme Data'!$J$4:$J$39</xm:f>
          </x14:formula1>
          <xm:sqref>M21 M13:M16 M27 M23 K7:K36</xm:sqref>
        </x14:dataValidation>
        <x14:dataValidation type="list" allowBlank="1" showInputMessage="1" showErrorMessage="1" xr:uid="{018037B0-46FD-4477-93E4-035DE6228427}">
          <x14:formula1>
            <xm:f>'TIme Data'!$K$4:$K$39</xm:f>
          </x14:formula1>
          <xm:sqref>M9 M30 M33 L7:L36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66D9-C828-441C-BF78-ADCCA149558C}">
  <dimension ref="J4:L39"/>
  <sheetViews>
    <sheetView topLeftCell="A3" workbookViewId="0">
      <selection activeCell="L14" sqref="L14"/>
    </sheetView>
  </sheetViews>
  <sheetFormatPr defaultRowHeight="15" x14ac:dyDescent="0.25"/>
  <cols>
    <col min="10" max="10" width="24.85546875" customWidth="1"/>
    <col min="11" max="11" width="22" customWidth="1"/>
    <col min="12" max="12" width="18.85546875" customWidth="1"/>
  </cols>
  <sheetData>
    <row r="4" spans="10:12" x14ac:dyDescent="0.25">
      <c r="J4" t="s">
        <v>704</v>
      </c>
      <c r="K4" t="s">
        <v>704</v>
      </c>
      <c r="L4" t="s">
        <v>704</v>
      </c>
    </row>
    <row r="5" spans="10:12" x14ac:dyDescent="0.25">
      <c r="J5" t="s">
        <v>171</v>
      </c>
      <c r="K5" t="s">
        <v>171</v>
      </c>
      <c r="L5" t="s">
        <v>171</v>
      </c>
    </row>
    <row r="6" spans="10:12" x14ac:dyDescent="0.25">
      <c r="J6" s="18" t="s">
        <v>69</v>
      </c>
      <c r="K6" s="18" t="s">
        <v>69</v>
      </c>
      <c r="L6" s="18" t="s">
        <v>69</v>
      </c>
    </row>
    <row r="7" spans="10:12" x14ac:dyDescent="0.25">
      <c r="J7" s="18" t="s">
        <v>30</v>
      </c>
      <c r="K7" s="18" t="s">
        <v>30</v>
      </c>
      <c r="L7" s="18" t="s">
        <v>30</v>
      </c>
    </row>
    <row r="8" spans="10:12" x14ac:dyDescent="0.25">
      <c r="J8" s="21">
        <v>65.3125</v>
      </c>
      <c r="K8" s="21">
        <v>97.541666666666671</v>
      </c>
    </row>
    <row r="9" spans="10:12" x14ac:dyDescent="0.25">
      <c r="J9" s="21">
        <v>97.302083333333329</v>
      </c>
      <c r="K9" s="21">
        <v>97.552083333333329</v>
      </c>
    </row>
    <row r="10" spans="10:12" x14ac:dyDescent="0.25">
      <c r="J10" s="21">
        <v>97.305555555555557</v>
      </c>
      <c r="K10" s="21">
        <v>97.555555555555557</v>
      </c>
    </row>
    <row r="11" spans="10:12" x14ac:dyDescent="0.25">
      <c r="J11" s="21">
        <v>97.309027777777771</v>
      </c>
      <c r="K11" s="21">
        <v>97.559027777777771</v>
      </c>
    </row>
    <row r="12" spans="10:12" x14ac:dyDescent="0.25">
      <c r="J12" s="21">
        <v>97.3125</v>
      </c>
      <c r="K12" s="21">
        <v>97.5625</v>
      </c>
    </row>
    <row r="13" spans="10:12" x14ac:dyDescent="0.25">
      <c r="J13" s="21">
        <v>97.322916666666671</v>
      </c>
      <c r="K13" s="21">
        <v>97.572916666666671</v>
      </c>
    </row>
    <row r="14" spans="10:12" x14ac:dyDescent="0.25">
      <c r="J14" s="21">
        <v>97.333333333333329</v>
      </c>
      <c r="K14" s="21">
        <v>97.576388888888886</v>
      </c>
    </row>
    <row r="15" spans="10:12" x14ac:dyDescent="0.25">
      <c r="J15" s="21">
        <v>97.34375</v>
      </c>
      <c r="K15" s="21">
        <v>97.583333333333329</v>
      </c>
    </row>
    <row r="16" spans="10:12" x14ac:dyDescent="0.25">
      <c r="J16" s="21">
        <v>97.354166666666671</v>
      </c>
      <c r="K16" s="21">
        <v>97.59375</v>
      </c>
    </row>
    <row r="17" spans="10:11" x14ac:dyDescent="0.25">
      <c r="J17" s="21">
        <v>97.364583333333329</v>
      </c>
      <c r="K17" s="21">
        <v>97.597222222222229</v>
      </c>
    </row>
    <row r="18" spans="10:11" x14ac:dyDescent="0.25">
      <c r="J18" s="21">
        <v>97.368055555555557</v>
      </c>
      <c r="K18" s="21">
        <v>97.600694444444443</v>
      </c>
    </row>
    <row r="19" spans="10:11" x14ac:dyDescent="0.25">
      <c r="J19" s="21">
        <v>97.375</v>
      </c>
      <c r="K19" s="21">
        <v>97.604166666666671</v>
      </c>
    </row>
    <row r="20" spans="10:11" x14ac:dyDescent="0.25">
      <c r="J20" s="21">
        <v>97.385416666666671</v>
      </c>
      <c r="K20" s="21">
        <v>97.614583333333329</v>
      </c>
    </row>
    <row r="21" spans="10:11" x14ac:dyDescent="0.25">
      <c r="J21" s="21">
        <v>97.388888888888886</v>
      </c>
      <c r="K21" s="21">
        <v>97.618055555555557</v>
      </c>
    </row>
    <row r="22" spans="10:11" x14ac:dyDescent="0.25">
      <c r="J22" s="21">
        <v>97.395833333333329</v>
      </c>
      <c r="K22" s="21">
        <v>97.625</v>
      </c>
    </row>
    <row r="23" spans="10:11" x14ac:dyDescent="0.25">
      <c r="J23" s="21">
        <v>97.40625</v>
      </c>
      <c r="K23" s="21">
        <v>97.635416666666671</v>
      </c>
    </row>
    <row r="24" spans="10:11" x14ac:dyDescent="0.25">
      <c r="J24" s="21">
        <v>97.409722222222229</v>
      </c>
      <c r="K24" s="21">
        <v>97.638888888888886</v>
      </c>
    </row>
    <row r="25" spans="10:11" x14ac:dyDescent="0.25">
      <c r="J25" s="21">
        <v>97.416666666666671</v>
      </c>
      <c r="K25" s="21">
        <v>97.642361111111114</v>
      </c>
    </row>
    <row r="26" spans="10:11" x14ac:dyDescent="0.25">
      <c r="J26" s="21">
        <v>97.427083333333329</v>
      </c>
      <c r="K26" s="21">
        <v>97.645833333333329</v>
      </c>
    </row>
    <row r="27" spans="10:11" x14ac:dyDescent="0.25">
      <c r="J27" s="21">
        <v>97.4375</v>
      </c>
      <c r="K27" s="21">
        <v>97.65625</v>
      </c>
    </row>
    <row r="28" spans="10:11" x14ac:dyDescent="0.25">
      <c r="J28" s="21">
        <v>97.447916666666671</v>
      </c>
      <c r="K28" s="21">
        <v>97.659722222222229</v>
      </c>
    </row>
    <row r="29" spans="10:11" x14ac:dyDescent="0.25">
      <c r="J29" s="21">
        <v>97.451388888888886</v>
      </c>
      <c r="K29" s="21">
        <v>97.666666666666671</v>
      </c>
    </row>
    <row r="30" spans="10:11" x14ac:dyDescent="0.25">
      <c r="J30" s="21">
        <v>97.458333333333329</v>
      </c>
      <c r="K30" s="21">
        <v>97.677083333333329</v>
      </c>
    </row>
    <row r="31" spans="10:11" x14ac:dyDescent="0.25">
      <c r="J31" s="18"/>
      <c r="K31" s="21">
        <v>97.680555555555557</v>
      </c>
    </row>
    <row r="32" spans="10:11" x14ac:dyDescent="0.25">
      <c r="J32" s="18"/>
      <c r="K32" s="21">
        <v>97.684027777777771</v>
      </c>
    </row>
    <row r="33" spans="10:11" x14ac:dyDescent="0.25">
      <c r="J33" s="18"/>
      <c r="K33" s="21">
        <v>97.6875</v>
      </c>
    </row>
    <row r="34" spans="10:11" x14ac:dyDescent="0.25">
      <c r="J34" s="18"/>
      <c r="K34" s="21">
        <v>97.697916666666671</v>
      </c>
    </row>
    <row r="35" spans="10:11" x14ac:dyDescent="0.25">
      <c r="J35" s="18"/>
      <c r="K35" s="21">
        <v>97.701388888888886</v>
      </c>
    </row>
    <row r="36" spans="10:11" x14ac:dyDescent="0.25">
      <c r="J36" s="18"/>
      <c r="K36" s="21">
        <v>97.708333333333329</v>
      </c>
    </row>
    <row r="37" spans="10:11" x14ac:dyDescent="0.25">
      <c r="K37" s="21">
        <v>97.729166666666671</v>
      </c>
    </row>
    <row r="38" spans="10:11" x14ac:dyDescent="0.25">
      <c r="K38" s="21">
        <v>97.75</v>
      </c>
    </row>
    <row r="39" spans="10:11" x14ac:dyDescent="0.25">
      <c r="K39" s="21">
        <v>97.770833333333329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B2BC-99E3-49E8-8CAA-E092BFAC652D}">
  <dimension ref="A1:M1048571"/>
  <sheetViews>
    <sheetView topLeftCell="A9" zoomScaleNormal="100" workbookViewId="0">
      <selection activeCell="D40" sqref="D40"/>
    </sheetView>
  </sheetViews>
  <sheetFormatPr defaultColWidth="9.140625" defaultRowHeight="15" x14ac:dyDescent="0.25"/>
  <cols>
    <col min="1" max="1" width="11.42578125" style="125" bestFit="1" customWidth="1"/>
    <col min="2" max="2" width="15.7109375" style="125" bestFit="1" customWidth="1"/>
    <col min="3" max="4" width="9.140625" style="125"/>
    <col min="5" max="5" width="23.85546875" style="125" customWidth="1"/>
    <col min="6" max="6" width="54.140625" style="125" customWidth="1"/>
    <col min="7" max="8" width="9.140625" style="125"/>
    <col min="9" max="9" width="38" style="125" customWidth="1"/>
    <col min="10" max="10" width="9.140625" style="125"/>
    <col min="11" max="11" width="11.5703125" style="142" bestFit="1" customWidth="1"/>
    <col min="12" max="12" width="9.140625" style="141"/>
    <col min="13" max="13" width="10.28515625" style="125" bestFit="1" customWidth="1"/>
    <col min="14" max="16384" width="9.140625" style="125"/>
  </cols>
  <sheetData>
    <row r="1" spans="1:13" ht="18.75" x14ac:dyDescent="0.3">
      <c r="A1" s="195"/>
      <c r="B1" s="215" t="s">
        <v>0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</row>
    <row r="2" spans="1:13" x14ac:dyDescent="0.25">
      <c r="A2" s="195"/>
      <c r="B2" s="126" t="s">
        <v>1</v>
      </c>
      <c r="C2" s="200" t="s">
        <v>34</v>
      </c>
      <c r="D2" s="200"/>
      <c r="E2" s="200"/>
      <c r="F2" s="126" t="s">
        <v>8</v>
      </c>
      <c r="G2" s="200" t="s">
        <v>682</v>
      </c>
      <c r="H2" s="200"/>
      <c r="I2" s="200"/>
      <c r="J2" s="200"/>
      <c r="K2" s="200"/>
      <c r="L2" s="200"/>
      <c r="M2" s="200"/>
    </row>
    <row r="3" spans="1:13" x14ac:dyDescent="0.25">
      <c r="A3" s="195"/>
      <c r="B3" s="126" t="s">
        <v>2</v>
      </c>
      <c r="C3" s="200" t="s">
        <v>36</v>
      </c>
      <c r="D3" s="200"/>
      <c r="E3" s="200"/>
      <c r="F3" s="126" t="s">
        <v>3</v>
      </c>
      <c r="G3" s="200" t="s">
        <v>13</v>
      </c>
      <c r="H3" s="200"/>
      <c r="I3" s="200"/>
      <c r="J3" s="200"/>
      <c r="K3" s="200"/>
      <c r="L3" s="200"/>
      <c r="M3" s="200"/>
    </row>
    <row r="4" spans="1:13" x14ac:dyDescent="0.25">
      <c r="A4" s="195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</row>
    <row r="5" spans="1:13" x14ac:dyDescent="0.25">
      <c r="A5" s="195"/>
      <c r="B5" s="130" t="s">
        <v>7</v>
      </c>
      <c r="C5" s="197" t="s">
        <v>4</v>
      </c>
      <c r="D5" s="197"/>
      <c r="E5" s="197"/>
      <c r="F5" s="197"/>
      <c r="G5" s="197"/>
      <c r="H5" s="197"/>
      <c r="I5" s="197"/>
      <c r="J5" s="197"/>
      <c r="K5" s="131" t="s">
        <v>5</v>
      </c>
      <c r="L5" s="132" t="s">
        <v>6</v>
      </c>
      <c r="M5" s="130" t="s">
        <v>491</v>
      </c>
    </row>
    <row r="6" spans="1:13" ht="15" customHeight="1" x14ac:dyDescent="0.25">
      <c r="A6" s="135" t="s">
        <v>64</v>
      </c>
      <c r="B6" s="136">
        <v>45474</v>
      </c>
      <c r="C6" s="196" t="s">
        <v>163</v>
      </c>
      <c r="D6" s="196"/>
      <c r="E6" s="196"/>
      <c r="F6" s="196"/>
      <c r="G6" s="196"/>
      <c r="H6" s="196"/>
      <c r="I6" s="196"/>
      <c r="J6" s="135"/>
      <c r="K6" s="21">
        <v>65.326388888888886</v>
      </c>
      <c r="L6" s="21">
        <v>96.677083333333329</v>
      </c>
      <c r="M6" s="21">
        <f t="shared" ref="M6" si="0">L6-K6</f>
        <v>31.350694444444443</v>
      </c>
    </row>
    <row r="7" spans="1:13" x14ac:dyDescent="0.25">
      <c r="A7" s="135" t="s">
        <v>65</v>
      </c>
      <c r="B7" s="136">
        <v>45475</v>
      </c>
      <c r="C7" s="194" t="s">
        <v>171</v>
      </c>
      <c r="D7" s="194"/>
      <c r="E7" s="194"/>
      <c r="F7" s="194"/>
      <c r="G7" s="194"/>
      <c r="H7" s="194"/>
      <c r="I7" s="194"/>
      <c r="J7" s="135"/>
      <c r="K7" s="21" t="s">
        <v>171</v>
      </c>
      <c r="L7" s="21" t="s">
        <v>171</v>
      </c>
      <c r="M7" s="21" t="s">
        <v>171</v>
      </c>
    </row>
    <row r="8" spans="1:13" x14ac:dyDescent="0.25">
      <c r="A8" s="135" t="s">
        <v>96</v>
      </c>
      <c r="B8" s="136">
        <v>45476</v>
      </c>
      <c r="C8" s="194" t="s">
        <v>744</v>
      </c>
      <c r="D8" s="194"/>
      <c r="E8" s="194"/>
      <c r="F8" s="194"/>
      <c r="G8" s="194"/>
      <c r="H8" s="194"/>
      <c r="I8" s="194"/>
      <c r="J8" s="135"/>
      <c r="K8" s="21">
        <v>65.333333333333329</v>
      </c>
      <c r="L8" s="21">
        <v>96.666666666666671</v>
      </c>
      <c r="M8" s="21">
        <f t="shared" ref="M8:M10" si="1">L8-K8</f>
        <v>31.333333333333343</v>
      </c>
    </row>
    <row r="9" spans="1:13" x14ac:dyDescent="0.25">
      <c r="A9" s="135" t="s">
        <v>67</v>
      </c>
      <c r="B9" s="136">
        <v>45477</v>
      </c>
      <c r="C9" s="194" t="s">
        <v>171</v>
      </c>
      <c r="D9" s="194"/>
      <c r="E9" s="194"/>
      <c r="F9" s="194"/>
      <c r="G9" s="194"/>
      <c r="H9" s="194"/>
      <c r="I9" s="194"/>
      <c r="J9" s="135"/>
      <c r="K9" s="21" t="s">
        <v>171</v>
      </c>
      <c r="L9" s="21" t="s">
        <v>171</v>
      </c>
      <c r="M9" s="21" t="s">
        <v>171</v>
      </c>
    </row>
    <row r="10" spans="1:13" x14ac:dyDescent="0.25">
      <c r="A10" s="135" t="s">
        <v>68</v>
      </c>
      <c r="B10" s="136">
        <v>45478</v>
      </c>
      <c r="C10" s="194" t="s">
        <v>746</v>
      </c>
      <c r="D10" s="194"/>
      <c r="E10" s="194"/>
      <c r="F10" s="194"/>
      <c r="G10" s="194"/>
      <c r="H10" s="194"/>
      <c r="I10" s="194"/>
      <c r="J10" s="51"/>
      <c r="K10" s="21">
        <v>65.333333333333329</v>
      </c>
      <c r="L10" s="21">
        <v>96.666666666666671</v>
      </c>
      <c r="M10" s="21">
        <f t="shared" si="1"/>
        <v>31.333333333333343</v>
      </c>
    </row>
    <row r="11" spans="1:13" x14ac:dyDescent="0.25">
      <c r="A11" s="171" t="s">
        <v>69</v>
      </c>
      <c r="B11" s="172">
        <v>45479</v>
      </c>
      <c r="C11" s="213" t="s">
        <v>69</v>
      </c>
      <c r="D11" s="213"/>
      <c r="E11" s="213"/>
      <c r="F11" s="213"/>
      <c r="G11" s="213"/>
      <c r="H11" s="213"/>
      <c r="I11" s="213"/>
      <c r="J11" s="173"/>
      <c r="K11" s="55"/>
      <c r="L11" s="55"/>
      <c r="M11" s="55"/>
    </row>
    <row r="12" spans="1:13" x14ac:dyDescent="0.25">
      <c r="A12" s="171" t="s">
        <v>30</v>
      </c>
      <c r="B12" s="172">
        <v>45480</v>
      </c>
      <c r="C12" s="214" t="s">
        <v>30</v>
      </c>
      <c r="D12" s="214"/>
      <c r="E12" s="214"/>
      <c r="F12" s="214"/>
      <c r="G12" s="214"/>
      <c r="H12" s="214"/>
      <c r="I12" s="214"/>
      <c r="J12" s="173"/>
      <c r="K12" s="55"/>
      <c r="L12" s="55"/>
      <c r="M12" s="55"/>
    </row>
    <row r="13" spans="1:13" x14ac:dyDescent="0.25">
      <c r="A13" s="135" t="s">
        <v>64</v>
      </c>
      <c r="B13" s="136">
        <v>45481</v>
      </c>
      <c r="C13" s="194" t="s">
        <v>171</v>
      </c>
      <c r="D13" s="194"/>
      <c r="E13" s="194"/>
      <c r="F13" s="194"/>
      <c r="G13" s="194"/>
      <c r="H13" s="194"/>
      <c r="I13" s="194"/>
      <c r="J13" s="135"/>
      <c r="K13" s="21" t="s">
        <v>171</v>
      </c>
      <c r="L13" s="21" t="s">
        <v>171</v>
      </c>
      <c r="M13" s="21" t="s">
        <v>171</v>
      </c>
    </row>
    <row r="14" spans="1:13" x14ac:dyDescent="0.25">
      <c r="A14" s="135" t="s">
        <v>65</v>
      </c>
      <c r="B14" s="136">
        <v>45482</v>
      </c>
      <c r="C14" s="194" t="s">
        <v>745</v>
      </c>
      <c r="D14" s="194"/>
      <c r="E14" s="194"/>
      <c r="F14" s="194"/>
      <c r="G14" s="194"/>
      <c r="H14" s="194"/>
      <c r="I14" s="194"/>
      <c r="J14" s="135"/>
      <c r="K14" s="21">
        <v>65.326388888888886</v>
      </c>
      <c r="L14" s="21">
        <v>96.625</v>
      </c>
      <c r="M14" s="21">
        <f t="shared" ref="M14:M17" si="2">L14-K14</f>
        <v>31.298611111111114</v>
      </c>
    </row>
    <row r="15" spans="1:13" x14ac:dyDescent="0.25">
      <c r="A15" s="135" t="s">
        <v>96</v>
      </c>
      <c r="B15" s="136">
        <v>45483</v>
      </c>
      <c r="C15" s="194" t="s">
        <v>745</v>
      </c>
      <c r="D15" s="194"/>
      <c r="E15" s="194"/>
      <c r="F15" s="194"/>
      <c r="G15" s="194"/>
      <c r="H15" s="194"/>
      <c r="I15" s="194"/>
      <c r="J15" s="135"/>
      <c r="K15" s="21">
        <v>65.322916666666671</v>
      </c>
      <c r="L15" s="21">
        <v>96.75</v>
      </c>
      <c r="M15" s="21">
        <f t="shared" si="2"/>
        <v>31.427083333333329</v>
      </c>
    </row>
    <row r="16" spans="1:13" x14ac:dyDescent="0.25">
      <c r="A16" s="135" t="s">
        <v>67</v>
      </c>
      <c r="B16" s="136">
        <v>45484</v>
      </c>
      <c r="C16" s="194" t="s">
        <v>747</v>
      </c>
      <c r="D16" s="194"/>
      <c r="E16" s="194"/>
      <c r="F16" s="194"/>
      <c r="G16" s="194"/>
      <c r="H16" s="194"/>
      <c r="I16" s="194"/>
      <c r="J16" s="51"/>
      <c r="K16" s="21" t="s">
        <v>171</v>
      </c>
      <c r="L16" s="21" t="s">
        <v>171</v>
      </c>
      <c r="M16" s="21" t="s">
        <v>171</v>
      </c>
    </row>
    <row r="17" spans="1:13" x14ac:dyDescent="0.25">
      <c r="A17" s="135" t="s">
        <v>68</v>
      </c>
      <c r="B17" s="136">
        <v>45485</v>
      </c>
      <c r="C17" s="196" t="s">
        <v>746</v>
      </c>
      <c r="D17" s="196"/>
      <c r="E17" s="196"/>
      <c r="F17" s="196"/>
      <c r="G17" s="196"/>
      <c r="H17" s="196"/>
      <c r="I17" s="196"/>
      <c r="J17" s="51"/>
      <c r="K17" s="21">
        <v>65.34375</v>
      </c>
      <c r="L17" s="21">
        <v>96.666666666666671</v>
      </c>
      <c r="M17" s="21">
        <f t="shared" si="2"/>
        <v>31.322916666666671</v>
      </c>
    </row>
    <row r="18" spans="1:13" ht="15" customHeight="1" x14ac:dyDescent="0.25">
      <c r="A18" s="171" t="s">
        <v>69</v>
      </c>
      <c r="B18" s="172">
        <v>45486</v>
      </c>
      <c r="C18" s="214" t="s">
        <v>69</v>
      </c>
      <c r="D18" s="214"/>
      <c r="E18" s="214"/>
      <c r="F18" s="214"/>
      <c r="G18" s="214"/>
      <c r="H18" s="214"/>
      <c r="I18" s="214"/>
      <c r="J18" s="171"/>
      <c r="K18" s="55"/>
      <c r="L18" s="55"/>
      <c r="M18" s="55"/>
    </row>
    <row r="19" spans="1:13" x14ac:dyDescent="0.25">
      <c r="A19" s="171" t="s">
        <v>30</v>
      </c>
      <c r="B19" s="172">
        <v>45487</v>
      </c>
      <c r="C19" s="214" t="s">
        <v>30</v>
      </c>
      <c r="D19" s="214"/>
      <c r="E19" s="214"/>
      <c r="F19" s="214"/>
      <c r="G19" s="214"/>
      <c r="H19" s="214"/>
      <c r="I19" s="214"/>
      <c r="J19" s="171"/>
      <c r="K19" s="55"/>
      <c r="L19" s="55"/>
      <c r="M19" s="55"/>
    </row>
    <row r="20" spans="1:13" ht="15" customHeight="1" x14ac:dyDescent="0.25">
      <c r="A20" s="135" t="s">
        <v>64</v>
      </c>
      <c r="B20" s="136">
        <v>45488</v>
      </c>
      <c r="C20" s="196" t="s">
        <v>171</v>
      </c>
      <c r="D20" s="196"/>
      <c r="E20" s="196"/>
      <c r="F20" s="196"/>
      <c r="G20" s="196"/>
      <c r="H20" s="196"/>
      <c r="I20" s="196"/>
      <c r="J20" s="135"/>
      <c r="K20" s="21" t="s">
        <v>171</v>
      </c>
      <c r="L20" s="21" t="s">
        <v>171</v>
      </c>
      <c r="M20" s="21" t="s">
        <v>171</v>
      </c>
    </row>
    <row r="21" spans="1:13" x14ac:dyDescent="0.25">
      <c r="A21" s="135" t="s">
        <v>65</v>
      </c>
      <c r="B21" s="136">
        <v>45489</v>
      </c>
      <c r="C21" s="196" t="s">
        <v>748</v>
      </c>
      <c r="D21" s="196"/>
      <c r="E21" s="196"/>
      <c r="F21" s="196"/>
      <c r="G21" s="196"/>
      <c r="H21" s="196"/>
      <c r="I21" s="196"/>
      <c r="J21" s="135"/>
      <c r="K21" s="21">
        <v>65.333333333333329</v>
      </c>
      <c r="L21" s="21">
        <v>96.645833333333329</v>
      </c>
      <c r="M21" s="21">
        <f t="shared" ref="M21" si="3">L21-K21</f>
        <v>31.3125</v>
      </c>
    </row>
    <row r="22" spans="1:13" x14ac:dyDescent="0.25">
      <c r="A22" s="135" t="s">
        <v>96</v>
      </c>
      <c r="B22" s="136">
        <v>45490</v>
      </c>
      <c r="C22" s="196" t="s">
        <v>749</v>
      </c>
      <c r="D22" s="196"/>
      <c r="E22" s="196"/>
      <c r="F22" s="196"/>
      <c r="G22" s="196"/>
      <c r="H22" s="196"/>
      <c r="I22" s="196"/>
      <c r="J22" s="135"/>
      <c r="K22" s="21">
        <v>65.322916666666671</v>
      </c>
      <c r="L22" s="21">
        <v>96.666666666666671</v>
      </c>
      <c r="M22" s="21">
        <f t="shared" ref="M22" si="4">L22-K22</f>
        <v>31.34375</v>
      </c>
    </row>
    <row r="23" spans="1:13" x14ac:dyDescent="0.25">
      <c r="A23" s="135" t="s">
        <v>67</v>
      </c>
      <c r="B23" s="136">
        <v>45491</v>
      </c>
      <c r="C23" s="194" t="s">
        <v>171</v>
      </c>
      <c r="D23" s="194"/>
      <c r="E23" s="194"/>
      <c r="F23" s="194"/>
      <c r="G23" s="194"/>
      <c r="H23" s="194"/>
      <c r="I23" s="194"/>
      <c r="J23" s="135"/>
      <c r="K23" s="21" t="s">
        <v>171</v>
      </c>
      <c r="L23" s="21" t="s">
        <v>171</v>
      </c>
      <c r="M23" s="21" t="s">
        <v>171</v>
      </c>
    </row>
    <row r="24" spans="1:13" x14ac:dyDescent="0.25">
      <c r="A24" s="135" t="s">
        <v>68</v>
      </c>
      <c r="B24" s="136">
        <v>45492</v>
      </c>
      <c r="C24" s="195" t="s">
        <v>750</v>
      </c>
      <c r="D24" s="195"/>
      <c r="E24" s="195"/>
      <c r="F24" s="195"/>
      <c r="G24" s="195"/>
      <c r="H24" s="195"/>
      <c r="I24" s="195"/>
      <c r="J24" s="146"/>
      <c r="K24" s="21">
        <v>65.388888888888886</v>
      </c>
      <c r="L24" s="21">
        <v>96.666666666666671</v>
      </c>
      <c r="M24" s="21">
        <f t="shared" ref="M24" si="5">L24-K24</f>
        <v>31.277777777777786</v>
      </c>
    </row>
    <row r="25" spans="1:13" x14ac:dyDescent="0.25">
      <c r="A25" s="171" t="s">
        <v>69</v>
      </c>
      <c r="B25" s="172">
        <v>45493</v>
      </c>
      <c r="C25" s="212" t="s">
        <v>69</v>
      </c>
      <c r="D25" s="212"/>
      <c r="E25" s="212"/>
      <c r="F25" s="212"/>
      <c r="G25" s="212"/>
      <c r="H25" s="212"/>
      <c r="I25" s="212"/>
      <c r="J25" s="174"/>
      <c r="K25" s="175"/>
      <c r="L25" s="175"/>
      <c r="M25" s="175"/>
    </row>
    <row r="26" spans="1:13" customFormat="1" x14ac:dyDescent="0.25">
      <c r="A26" s="171" t="s">
        <v>30</v>
      </c>
      <c r="B26" s="172">
        <v>45494</v>
      </c>
      <c r="C26" s="212" t="s">
        <v>30</v>
      </c>
      <c r="D26" s="212"/>
      <c r="E26" s="212"/>
      <c r="F26" s="212"/>
      <c r="G26" s="212"/>
      <c r="H26" s="212"/>
      <c r="I26" s="212"/>
      <c r="J26" s="60"/>
      <c r="K26" s="55"/>
      <c r="L26" s="55"/>
      <c r="M26" s="55"/>
    </row>
    <row r="27" spans="1:13" x14ac:dyDescent="0.25">
      <c r="A27" s="135" t="s">
        <v>64</v>
      </c>
      <c r="B27" s="136">
        <v>45495</v>
      </c>
      <c r="C27" s="195" t="s">
        <v>171</v>
      </c>
      <c r="D27" s="195"/>
      <c r="E27" s="195"/>
      <c r="F27" s="195"/>
      <c r="G27" s="195"/>
      <c r="H27" s="195"/>
      <c r="I27" s="195"/>
      <c r="J27" s="135"/>
      <c r="K27" s="21" t="s">
        <v>171</v>
      </c>
      <c r="L27" s="21" t="s">
        <v>171</v>
      </c>
      <c r="M27" s="21" t="s">
        <v>171</v>
      </c>
    </row>
    <row r="28" spans="1:13" x14ac:dyDescent="0.25">
      <c r="A28" s="135" t="s">
        <v>65</v>
      </c>
      <c r="B28" s="136">
        <v>45496</v>
      </c>
      <c r="C28" s="194" t="s">
        <v>751</v>
      </c>
      <c r="D28" s="194"/>
      <c r="E28" s="194"/>
      <c r="F28" s="194"/>
      <c r="G28" s="194"/>
      <c r="H28" s="194"/>
      <c r="I28" s="194"/>
      <c r="J28" s="135"/>
      <c r="K28" s="21">
        <v>65.333333333333329</v>
      </c>
      <c r="L28" s="21">
        <v>96.625</v>
      </c>
      <c r="M28" s="21">
        <f t="shared" ref="M28" si="6">L28-K28</f>
        <v>31.291666666666671</v>
      </c>
    </row>
    <row r="29" spans="1:13" x14ac:dyDescent="0.25">
      <c r="A29" s="135" t="s">
        <v>66</v>
      </c>
      <c r="B29" s="136">
        <v>45497</v>
      </c>
      <c r="C29" s="194" t="s">
        <v>752</v>
      </c>
      <c r="D29" s="194"/>
      <c r="E29" s="194"/>
      <c r="F29" s="194"/>
      <c r="G29" s="194"/>
      <c r="H29" s="194"/>
      <c r="I29" s="194"/>
      <c r="J29" s="135"/>
      <c r="K29" s="21" t="s">
        <v>171</v>
      </c>
      <c r="L29" s="21" t="s">
        <v>171</v>
      </c>
      <c r="M29" s="21" t="s">
        <v>171</v>
      </c>
    </row>
    <row r="30" spans="1:13" ht="15" customHeight="1" x14ac:dyDescent="0.25">
      <c r="A30" s="135" t="s">
        <v>67</v>
      </c>
      <c r="B30" s="136">
        <v>45498</v>
      </c>
      <c r="C30" s="196" t="s">
        <v>753</v>
      </c>
      <c r="D30" s="196"/>
      <c r="E30" s="196"/>
      <c r="F30" s="196"/>
      <c r="G30" s="196"/>
      <c r="H30" s="196"/>
      <c r="I30" s="196"/>
      <c r="J30" s="135"/>
      <c r="K30" s="21" t="s">
        <v>171</v>
      </c>
      <c r="L30" s="21" t="s">
        <v>171</v>
      </c>
      <c r="M30" s="21" t="s">
        <v>171</v>
      </c>
    </row>
    <row r="31" spans="1:13" ht="15" customHeight="1" x14ac:dyDescent="0.25">
      <c r="A31" s="135" t="s">
        <v>68</v>
      </c>
      <c r="B31" s="136">
        <v>45499</v>
      </c>
      <c r="C31" s="196" t="s">
        <v>753</v>
      </c>
      <c r="D31" s="196"/>
      <c r="E31" s="196"/>
      <c r="F31" s="196"/>
      <c r="G31" s="196"/>
      <c r="H31" s="196"/>
      <c r="I31" s="196"/>
      <c r="J31" s="135"/>
      <c r="K31" s="21">
        <v>96.5833333333333</v>
      </c>
      <c r="L31" s="21">
        <v>96.75</v>
      </c>
      <c r="M31" s="21">
        <f t="shared" ref="M31" si="7">L31-K31</f>
        <v>0.16666666666669983</v>
      </c>
    </row>
    <row r="32" spans="1:13" x14ac:dyDescent="0.25">
      <c r="A32" s="171" t="s">
        <v>69</v>
      </c>
      <c r="B32" s="172">
        <v>45500</v>
      </c>
      <c r="C32" s="213" t="s">
        <v>69</v>
      </c>
      <c r="D32" s="213"/>
      <c r="E32" s="213"/>
      <c r="F32" s="213"/>
      <c r="G32" s="213"/>
      <c r="H32" s="213"/>
      <c r="I32" s="213"/>
      <c r="J32" s="171"/>
      <c r="K32" s="55"/>
      <c r="L32" s="55"/>
      <c r="M32" s="55"/>
    </row>
    <row r="33" spans="1:13" x14ac:dyDescent="0.25">
      <c r="A33" s="171" t="s">
        <v>30</v>
      </c>
      <c r="B33" s="172">
        <v>45501</v>
      </c>
      <c r="C33" s="213" t="s">
        <v>30</v>
      </c>
      <c r="D33" s="213"/>
      <c r="E33" s="213"/>
      <c r="F33" s="213"/>
      <c r="G33" s="213"/>
      <c r="H33" s="213"/>
      <c r="I33" s="213"/>
      <c r="J33" s="171"/>
      <c r="K33" s="55"/>
      <c r="L33" s="55"/>
      <c r="M33" s="55"/>
    </row>
    <row r="34" spans="1:13" x14ac:dyDescent="0.25">
      <c r="A34" s="135" t="s">
        <v>64</v>
      </c>
      <c r="B34" s="136">
        <v>45502</v>
      </c>
      <c r="C34" s="195" t="s">
        <v>755</v>
      </c>
      <c r="D34" s="195"/>
      <c r="E34" s="195"/>
      <c r="F34" s="195"/>
      <c r="G34" s="195"/>
      <c r="H34" s="195"/>
      <c r="I34" s="195"/>
      <c r="J34" s="135"/>
      <c r="K34" s="21">
        <v>65.326388888888886</v>
      </c>
      <c r="L34" s="21">
        <v>96.645833333333329</v>
      </c>
      <c r="M34" s="21">
        <f t="shared" ref="M34:M35" si="8">L34-K34</f>
        <v>31.319444444444443</v>
      </c>
    </row>
    <row r="35" spans="1:13" x14ac:dyDescent="0.25">
      <c r="A35" s="135" t="s">
        <v>65</v>
      </c>
      <c r="B35" s="136">
        <v>45503</v>
      </c>
      <c r="C35" s="195" t="s">
        <v>754</v>
      </c>
      <c r="D35" s="195"/>
      <c r="E35" s="195"/>
      <c r="F35" s="195"/>
      <c r="G35" s="195"/>
      <c r="H35" s="195"/>
      <c r="I35" s="195"/>
      <c r="J35" s="135"/>
      <c r="K35" s="21">
        <v>65.333333333333329</v>
      </c>
      <c r="L35" s="21">
        <v>96.625</v>
      </c>
      <c r="M35" s="21">
        <f t="shared" si="8"/>
        <v>31.291666666666671</v>
      </c>
    </row>
    <row r="36" spans="1:13" x14ac:dyDescent="0.25">
      <c r="A36" s="135" t="s">
        <v>66</v>
      </c>
      <c r="B36" s="136">
        <v>45504</v>
      </c>
      <c r="C36" s="195" t="s">
        <v>171</v>
      </c>
      <c r="D36" s="195"/>
      <c r="E36" s="195"/>
      <c r="F36" s="195"/>
      <c r="G36" s="195"/>
      <c r="H36" s="195"/>
      <c r="I36" s="195"/>
      <c r="J36" s="135"/>
      <c r="K36" s="100" t="s">
        <v>171</v>
      </c>
      <c r="L36" s="35" t="s">
        <v>171</v>
      </c>
      <c r="M36" s="135" t="s">
        <v>171</v>
      </c>
    </row>
    <row r="1048571" spans="11:12" x14ac:dyDescent="0.25">
      <c r="K1048571" s="21"/>
      <c r="L1048571" s="21"/>
    </row>
  </sheetData>
  <mergeCells count="39">
    <mergeCell ref="C36:I36"/>
    <mergeCell ref="C11:I11"/>
    <mergeCell ref="A1:A5"/>
    <mergeCell ref="B1:M1"/>
    <mergeCell ref="C2:E2"/>
    <mergeCell ref="G2:M2"/>
    <mergeCell ref="C3:E3"/>
    <mergeCell ref="G3:M3"/>
    <mergeCell ref="C5:J5"/>
    <mergeCell ref="C6:I6"/>
    <mergeCell ref="C7:I7"/>
    <mergeCell ref="C8:I8"/>
    <mergeCell ref="C9:I9"/>
    <mergeCell ref="C10:I10"/>
    <mergeCell ref="B4:M4"/>
    <mergeCell ref="C23:I23"/>
    <mergeCell ref="C12:I12"/>
    <mergeCell ref="C13:I13"/>
    <mergeCell ref="C14:I14"/>
    <mergeCell ref="C15:I15"/>
    <mergeCell ref="C16:I16"/>
    <mergeCell ref="C17:I17"/>
    <mergeCell ref="C18:I18"/>
    <mergeCell ref="C19:I19"/>
    <mergeCell ref="C20:I20"/>
    <mergeCell ref="C21:I21"/>
    <mergeCell ref="C22:I22"/>
    <mergeCell ref="C35:I35"/>
    <mergeCell ref="C24:I24"/>
    <mergeCell ref="C25:I25"/>
    <mergeCell ref="C26:I26"/>
    <mergeCell ref="C27:I27"/>
    <mergeCell ref="C28:I28"/>
    <mergeCell ref="C29:I29"/>
    <mergeCell ref="C30:I30"/>
    <mergeCell ref="C31:I31"/>
    <mergeCell ref="C32:I32"/>
    <mergeCell ref="C33:I33"/>
    <mergeCell ref="C34:I34"/>
  </mergeCells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D603-860A-4A91-B4FD-BD0DFA1E841F}">
  <dimension ref="A1:M1048571"/>
  <sheetViews>
    <sheetView zoomScaleNormal="100" workbookViewId="0">
      <selection activeCell="C22" sqref="C22:I22"/>
    </sheetView>
  </sheetViews>
  <sheetFormatPr defaultColWidth="9.140625" defaultRowHeight="15" x14ac:dyDescent="0.25"/>
  <cols>
    <col min="1" max="1" width="11.42578125" style="125" bestFit="1" customWidth="1"/>
    <col min="2" max="2" width="15.7109375" style="125" bestFit="1" customWidth="1"/>
    <col min="3" max="4" width="9.140625" style="125"/>
    <col min="5" max="5" width="23.85546875" style="125" customWidth="1"/>
    <col min="6" max="6" width="54.140625" style="125" customWidth="1"/>
    <col min="7" max="8" width="9.140625" style="125"/>
    <col min="9" max="9" width="38" style="125" customWidth="1"/>
    <col min="10" max="10" width="9.140625" style="125"/>
    <col min="11" max="11" width="11.5703125" style="142" bestFit="1" customWidth="1"/>
    <col min="12" max="12" width="9.140625" style="141"/>
    <col min="13" max="13" width="10.28515625" style="125" bestFit="1" customWidth="1"/>
    <col min="14" max="16384" width="9.140625" style="125"/>
  </cols>
  <sheetData>
    <row r="1" spans="1:13" ht="18.75" x14ac:dyDescent="0.3">
      <c r="A1" s="195"/>
      <c r="B1" s="215" t="s">
        <v>0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</row>
    <row r="2" spans="1:13" x14ac:dyDescent="0.25">
      <c r="A2" s="195"/>
      <c r="B2" s="126" t="s">
        <v>1</v>
      </c>
      <c r="C2" s="200" t="s">
        <v>34</v>
      </c>
      <c r="D2" s="200"/>
      <c r="E2" s="200"/>
      <c r="F2" s="126" t="s">
        <v>8</v>
      </c>
      <c r="G2" s="200" t="s">
        <v>682</v>
      </c>
      <c r="H2" s="200"/>
      <c r="I2" s="200"/>
      <c r="J2" s="200"/>
      <c r="K2" s="200"/>
      <c r="L2" s="200"/>
      <c r="M2" s="200"/>
    </row>
    <row r="3" spans="1:13" x14ac:dyDescent="0.25">
      <c r="A3" s="195"/>
      <c r="B3" s="126" t="s">
        <v>2</v>
      </c>
      <c r="C3" s="200" t="s">
        <v>36</v>
      </c>
      <c r="D3" s="200"/>
      <c r="E3" s="200"/>
      <c r="F3" s="126" t="s">
        <v>3</v>
      </c>
      <c r="G3" s="200" t="s">
        <v>13</v>
      </c>
      <c r="H3" s="200"/>
      <c r="I3" s="200"/>
      <c r="J3" s="200"/>
      <c r="K3" s="200"/>
      <c r="L3" s="200"/>
      <c r="M3" s="200"/>
    </row>
    <row r="4" spans="1:13" x14ac:dyDescent="0.25">
      <c r="A4" s="195"/>
      <c r="B4" s="127"/>
      <c r="C4" s="127"/>
      <c r="D4" s="127"/>
      <c r="E4" s="127"/>
      <c r="F4" s="127"/>
      <c r="G4" s="127"/>
      <c r="H4" s="127"/>
      <c r="I4" s="127"/>
      <c r="J4" s="127"/>
      <c r="K4" s="128"/>
      <c r="L4" s="129"/>
      <c r="M4" s="129"/>
    </row>
    <row r="5" spans="1:13" x14ac:dyDescent="0.25">
      <c r="A5" s="195"/>
      <c r="B5" s="130" t="s">
        <v>7</v>
      </c>
      <c r="C5" s="197" t="s">
        <v>4</v>
      </c>
      <c r="D5" s="197"/>
      <c r="E5" s="197"/>
      <c r="F5" s="197"/>
      <c r="G5" s="197"/>
      <c r="H5" s="197"/>
      <c r="I5" s="197"/>
      <c r="J5" s="197"/>
      <c r="K5" s="131" t="s">
        <v>5</v>
      </c>
      <c r="L5" s="132" t="s">
        <v>6</v>
      </c>
      <c r="M5" s="130" t="s">
        <v>491</v>
      </c>
    </row>
    <row r="6" spans="1:13" ht="15" customHeight="1" x14ac:dyDescent="0.25">
      <c r="A6" s="133" t="s">
        <v>69</v>
      </c>
      <c r="B6" s="134">
        <v>45444</v>
      </c>
      <c r="C6" s="224"/>
      <c r="D6" s="224"/>
      <c r="E6" s="224"/>
      <c r="F6" s="224"/>
      <c r="G6" s="224"/>
      <c r="H6" s="224"/>
      <c r="I6" s="224"/>
      <c r="J6" s="133"/>
      <c r="K6" s="124"/>
      <c r="L6" s="124"/>
      <c r="M6" s="124"/>
    </row>
    <row r="7" spans="1:13" x14ac:dyDescent="0.25">
      <c r="A7" s="133" t="s">
        <v>30</v>
      </c>
      <c r="B7" s="134">
        <v>45445</v>
      </c>
      <c r="C7" s="216"/>
      <c r="D7" s="216"/>
      <c r="E7" s="216"/>
      <c r="F7" s="216"/>
      <c r="G7" s="216"/>
      <c r="H7" s="216"/>
      <c r="I7" s="216"/>
      <c r="J7" s="133"/>
      <c r="K7" s="124"/>
      <c r="L7" s="124"/>
      <c r="M7" s="124"/>
    </row>
    <row r="8" spans="1:13" x14ac:dyDescent="0.25">
      <c r="A8" s="135" t="s">
        <v>64</v>
      </c>
      <c r="B8" s="136">
        <v>45446</v>
      </c>
      <c r="C8" s="194" t="s">
        <v>734</v>
      </c>
      <c r="D8" s="194"/>
      <c r="E8" s="194"/>
      <c r="F8" s="194"/>
      <c r="G8" s="194"/>
      <c r="H8" s="194"/>
      <c r="I8" s="194"/>
      <c r="J8" s="135"/>
      <c r="K8" s="21">
        <v>65.333333333333329</v>
      </c>
      <c r="L8" s="21">
        <v>96.666666666666671</v>
      </c>
      <c r="M8" s="21">
        <f t="shared" ref="M8" si="0">L8-K8</f>
        <v>31.333333333333343</v>
      </c>
    </row>
    <row r="9" spans="1:13" x14ac:dyDescent="0.25">
      <c r="A9" s="135" t="s">
        <v>65</v>
      </c>
      <c r="B9" s="136">
        <v>45447</v>
      </c>
      <c r="C9" s="194" t="s">
        <v>733</v>
      </c>
      <c r="D9" s="194"/>
      <c r="E9" s="194"/>
      <c r="F9" s="194"/>
      <c r="G9" s="194"/>
      <c r="H9" s="194"/>
      <c r="I9" s="194"/>
      <c r="J9" s="51"/>
      <c r="K9" s="21">
        <v>65.326388888888886</v>
      </c>
      <c r="L9" s="21">
        <v>96.666666666666671</v>
      </c>
      <c r="M9" s="21">
        <f t="shared" ref="M9:M10" si="1">L9-K9</f>
        <v>31.340277777777786</v>
      </c>
    </row>
    <row r="10" spans="1:13" x14ac:dyDescent="0.25">
      <c r="A10" s="135" t="s">
        <v>96</v>
      </c>
      <c r="B10" s="136">
        <v>45448</v>
      </c>
      <c r="C10" s="194" t="s">
        <v>733</v>
      </c>
      <c r="D10" s="194"/>
      <c r="E10" s="194"/>
      <c r="F10" s="194"/>
      <c r="G10" s="194"/>
      <c r="H10" s="194"/>
      <c r="I10" s="194"/>
      <c r="J10" s="51"/>
      <c r="K10" s="21">
        <v>65.333333333333329</v>
      </c>
      <c r="L10" s="21">
        <v>96.666666666666671</v>
      </c>
      <c r="M10" s="21">
        <f t="shared" si="1"/>
        <v>31.333333333333343</v>
      </c>
    </row>
    <row r="11" spans="1:13" x14ac:dyDescent="0.25">
      <c r="A11" s="135" t="s">
        <v>67</v>
      </c>
      <c r="B11" s="136">
        <v>45449</v>
      </c>
      <c r="C11" s="194" t="s">
        <v>735</v>
      </c>
      <c r="D11" s="194"/>
      <c r="E11" s="194"/>
      <c r="F11" s="194"/>
      <c r="G11" s="194"/>
      <c r="H11" s="194"/>
      <c r="I11" s="194"/>
      <c r="J11" s="51"/>
      <c r="K11" s="21">
        <v>65.333333333333329</v>
      </c>
      <c r="L11" s="21">
        <v>96.666666666666671</v>
      </c>
      <c r="M11" s="21">
        <f t="shared" ref="M11" si="2">L11-K11</f>
        <v>31.333333333333343</v>
      </c>
    </row>
    <row r="12" spans="1:13" x14ac:dyDescent="0.25">
      <c r="A12" s="135" t="s">
        <v>68</v>
      </c>
      <c r="B12" s="136">
        <v>45450</v>
      </c>
      <c r="C12" s="196" t="s">
        <v>736</v>
      </c>
      <c r="D12" s="196"/>
      <c r="E12" s="196"/>
      <c r="F12" s="196"/>
      <c r="G12" s="196"/>
      <c r="H12" s="196"/>
      <c r="I12" s="196"/>
      <c r="J12" s="51"/>
      <c r="K12" s="21" t="s">
        <v>171</v>
      </c>
      <c r="L12" s="21" t="s">
        <v>171</v>
      </c>
      <c r="M12" s="21" t="s">
        <v>171</v>
      </c>
    </row>
    <row r="13" spans="1:13" x14ac:dyDescent="0.25">
      <c r="A13" s="133" t="s">
        <v>69</v>
      </c>
      <c r="B13" s="134">
        <v>45451</v>
      </c>
      <c r="C13" s="216"/>
      <c r="D13" s="216"/>
      <c r="E13" s="216"/>
      <c r="F13" s="216"/>
      <c r="G13" s="216"/>
      <c r="H13" s="216"/>
      <c r="I13" s="216"/>
      <c r="J13" s="133"/>
      <c r="K13" s="124"/>
      <c r="L13" s="124"/>
      <c r="M13" s="124"/>
    </row>
    <row r="14" spans="1:13" x14ac:dyDescent="0.25">
      <c r="A14" s="133" t="s">
        <v>30</v>
      </c>
      <c r="B14" s="134">
        <v>45452</v>
      </c>
      <c r="C14" s="216"/>
      <c r="D14" s="216"/>
      <c r="E14" s="216"/>
      <c r="F14" s="216"/>
      <c r="G14" s="216"/>
      <c r="H14" s="216"/>
      <c r="I14" s="216"/>
      <c r="J14" s="133"/>
      <c r="K14" s="124"/>
      <c r="L14" s="124"/>
      <c r="M14" s="124"/>
    </row>
    <row r="15" spans="1:13" x14ac:dyDescent="0.25">
      <c r="A15" s="135" t="s">
        <v>64</v>
      </c>
      <c r="B15" s="136">
        <v>45453</v>
      </c>
      <c r="C15" s="194" t="s">
        <v>737</v>
      </c>
      <c r="D15" s="194"/>
      <c r="E15" s="194"/>
      <c r="F15" s="194"/>
      <c r="G15" s="194"/>
      <c r="H15" s="194"/>
      <c r="I15" s="194"/>
      <c r="J15" s="135"/>
      <c r="K15" s="21">
        <v>65.326388888888886</v>
      </c>
      <c r="L15" s="21">
        <v>96.666666666666671</v>
      </c>
      <c r="M15" s="21">
        <f t="shared" ref="M15:M16" si="3">L15-K15</f>
        <v>31.340277777777786</v>
      </c>
    </row>
    <row r="16" spans="1:13" x14ac:dyDescent="0.25">
      <c r="A16" s="135" t="s">
        <v>65</v>
      </c>
      <c r="B16" s="136">
        <v>45454</v>
      </c>
      <c r="C16" s="194" t="s">
        <v>737</v>
      </c>
      <c r="D16" s="194"/>
      <c r="E16" s="194"/>
      <c r="F16" s="194"/>
      <c r="G16" s="194"/>
      <c r="H16" s="194"/>
      <c r="I16" s="194"/>
      <c r="J16" s="51"/>
      <c r="K16" s="21">
        <v>65.333333333333329</v>
      </c>
      <c r="L16" s="21">
        <v>96.666666666666671</v>
      </c>
      <c r="M16" s="21">
        <f t="shared" si="3"/>
        <v>31.333333333333343</v>
      </c>
    </row>
    <row r="17" spans="1:13" x14ac:dyDescent="0.25">
      <c r="A17" s="135" t="s">
        <v>96</v>
      </c>
      <c r="B17" s="136">
        <v>45455</v>
      </c>
      <c r="C17" s="196" t="s">
        <v>738</v>
      </c>
      <c r="D17" s="196"/>
      <c r="E17" s="196"/>
      <c r="F17" s="196"/>
      <c r="G17" s="196"/>
      <c r="H17" s="196"/>
      <c r="I17" s="196"/>
      <c r="J17" s="51"/>
      <c r="K17" s="21" t="s">
        <v>171</v>
      </c>
      <c r="L17" s="21" t="s">
        <v>171</v>
      </c>
      <c r="M17" s="21" t="s">
        <v>171</v>
      </c>
    </row>
    <row r="18" spans="1:13" ht="15" customHeight="1" x14ac:dyDescent="0.25">
      <c r="A18" s="135" t="s">
        <v>67</v>
      </c>
      <c r="B18" s="136">
        <v>45456</v>
      </c>
      <c r="C18" s="196" t="s">
        <v>739</v>
      </c>
      <c r="D18" s="196"/>
      <c r="E18" s="196"/>
      <c r="F18" s="196"/>
      <c r="G18" s="196"/>
      <c r="H18" s="196"/>
      <c r="I18" s="196"/>
      <c r="J18" s="135"/>
      <c r="K18" s="21" t="s">
        <v>171</v>
      </c>
      <c r="L18" s="21" t="s">
        <v>171</v>
      </c>
      <c r="M18" s="21" t="s">
        <v>171</v>
      </c>
    </row>
    <row r="19" spans="1:13" x14ac:dyDescent="0.25">
      <c r="A19" s="135" t="s">
        <v>68</v>
      </c>
      <c r="B19" s="136">
        <v>45457</v>
      </c>
      <c r="C19" s="196" t="s">
        <v>740</v>
      </c>
      <c r="D19" s="196"/>
      <c r="E19" s="196"/>
      <c r="F19" s="196"/>
      <c r="G19" s="196"/>
      <c r="H19" s="196"/>
      <c r="I19" s="196"/>
      <c r="J19" s="135"/>
      <c r="K19" s="21">
        <v>65.333333333333329</v>
      </c>
      <c r="L19" s="21">
        <v>96.666666666666671</v>
      </c>
      <c r="M19" s="21">
        <f t="shared" ref="M19:M22" si="4">L19-K19</f>
        <v>31.333333333333343</v>
      </c>
    </row>
    <row r="20" spans="1:13" ht="15" customHeight="1" x14ac:dyDescent="0.25">
      <c r="A20" s="133" t="s">
        <v>69</v>
      </c>
      <c r="B20" s="134">
        <v>45458</v>
      </c>
      <c r="C20" s="224"/>
      <c r="D20" s="224"/>
      <c r="E20" s="224"/>
      <c r="F20" s="224"/>
      <c r="G20" s="224"/>
      <c r="H20" s="224"/>
      <c r="I20" s="224"/>
      <c r="J20" s="133"/>
      <c r="K20" s="124"/>
      <c r="L20" s="124"/>
      <c r="M20" s="124"/>
    </row>
    <row r="21" spans="1:13" x14ac:dyDescent="0.25">
      <c r="A21" s="133" t="s">
        <v>30</v>
      </c>
      <c r="B21" s="134">
        <v>45459</v>
      </c>
      <c r="C21" s="224"/>
      <c r="D21" s="224"/>
      <c r="E21" s="224"/>
      <c r="F21" s="224"/>
      <c r="G21" s="224"/>
      <c r="H21" s="224"/>
      <c r="I21" s="224"/>
      <c r="J21" s="133"/>
      <c r="K21" s="124"/>
      <c r="L21" s="124"/>
      <c r="M21" s="124"/>
    </row>
    <row r="22" spans="1:13" x14ac:dyDescent="0.25">
      <c r="A22" s="135" t="s">
        <v>64</v>
      </c>
      <c r="B22" s="136">
        <v>45460</v>
      </c>
      <c r="C22" s="194" t="s">
        <v>741</v>
      </c>
      <c r="D22" s="194"/>
      <c r="E22" s="194"/>
      <c r="F22" s="194"/>
      <c r="G22" s="194"/>
      <c r="H22" s="194"/>
      <c r="I22" s="194"/>
      <c r="J22" s="135"/>
      <c r="K22" s="21">
        <v>65.333333333333329</v>
      </c>
      <c r="L22" s="21">
        <v>96.666666666666671</v>
      </c>
      <c r="M22" s="21">
        <f t="shared" si="4"/>
        <v>31.333333333333343</v>
      </c>
    </row>
    <row r="23" spans="1:13" x14ac:dyDescent="0.25">
      <c r="A23" s="135" t="s">
        <v>65</v>
      </c>
      <c r="B23" s="136">
        <v>45461</v>
      </c>
      <c r="C23" s="194" t="s">
        <v>171</v>
      </c>
      <c r="D23" s="194"/>
      <c r="E23" s="194"/>
      <c r="F23" s="194"/>
      <c r="G23" s="194"/>
      <c r="H23" s="194"/>
      <c r="I23" s="194"/>
      <c r="J23" s="146"/>
      <c r="K23" s="21" t="s">
        <v>171</v>
      </c>
      <c r="L23" s="21" t="s">
        <v>171</v>
      </c>
      <c r="M23" s="21" t="s">
        <v>171</v>
      </c>
    </row>
    <row r="24" spans="1:13" x14ac:dyDescent="0.25">
      <c r="A24" s="135" t="s">
        <v>96</v>
      </c>
      <c r="B24" s="136">
        <v>45462</v>
      </c>
      <c r="C24" s="195" t="s">
        <v>268</v>
      </c>
      <c r="D24" s="195"/>
      <c r="E24" s="195"/>
      <c r="F24" s="195"/>
      <c r="G24" s="195"/>
      <c r="H24" s="195"/>
      <c r="I24" s="195"/>
      <c r="J24" s="146"/>
      <c r="K24" s="170" t="s">
        <v>268</v>
      </c>
      <c r="L24" s="170" t="s">
        <v>268</v>
      </c>
      <c r="M24" s="170" t="s">
        <v>268</v>
      </c>
    </row>
    <row r="25" spans="1:13" x14ac:dyDescent="0.25">
      <c r="A25" s="135" t="s">
        <v>67</v>
      </c>
      <c r="B25" s="136">
        <v>45463</v>
      </c>
      <c r="C25" s="195" t="s">
        <v>268</v>
      </c>
      <c r="D25" s="195"/>
      <c r="E25" s="195"/>
      <c r="F25" s="195"/>
      <c r="G25" s="195"/>
      <c r="H25" s="195"/>
      <c r="I25" s="195"/>
      <c r="J25" s="146"/>
      <c r="K25" s="170" t="s">
        <v>268</v>
      </c>
      <c r="L25" s="170" t="s">
        <v>268</v>
      </c>
      <c r="M25" s="170" t="s">
        <v>268</v>
      </c>
    </row>
    <row r="26" spans="1:13" customFormat="1" x14ac:dyDescent="0.25">
      <c r="A26" s="135" t="s">
        <v>68</v>
      </c>
      <c r="B26" s="136">
        <v>45464</v>
      </c>
      <c r="C26" s="195" t="s">
        <v>171</v>
      </c>
      <c r="D26" s="195"/>
      <c r="E26" s="195"/>
      <c r="F26" s="195"/>
      <c r="G26" s="195"/>
      <c r="H26" s="195"/>
      <c r="I26" s="195"/>
      <c r="J26" s="37"/>
      <c r="K26" s="21" t="s">
        <v>171</v>
      </c>
      <c r="L26" s="21" t="s">
        <v>171</v>
      </c>
      <c r="M26" s="21" t="s">
        <v>171</v>
      </c>
    </row>
    <row r="27" spans="1:13" x14ac:dyDescent="0.25">
      <c r="A27" s="133" t="s">
        <v>69</v>
      </c>
      <c r="B27" s="134">
        <v>45465</v>
      </c>
      <c r="C27" s="217"/>
      <c r="D27" s="217"/>
      <c r="E27" s="217"/>
      <c r="F27" s="217"/>
      <c r="G27" s="217"/>
      <c r="H27" s="217"/>
      <c r="I27" s="217"/>
      <c r="J27" s="133"/>
      <c r="K27" s="124"/>
      <c r="L27" s="124"/>
      <c r="M27" s="124"/>
    </row>
    <row r="28" spans="1:13" x14ac:dyDescent="0.25">
      <c r="A28" s="133" t="s">
        <v>30</v>
      </c>
      <c r="B28" s="134">
        <v>45466</v>
      </c>
      <c r="C28" s="216"/>
      <c r="D28" s="216"/>
      <c r="E28" s="216"/>
      <c r="F28" s="216"/>
      <c r="G28" s="216"/>
      <c r="H28" s="216"/>
      <c r="I28" s="216"/>
      <c r="J28" s="133"/>
      <c r="K28" s="124"/>
      <c r="L28" s="124"/>
      <c r="M28" s="124"/>
    </row>
    <row r="29" spans="1:13" x14ac:dyDescent="0.25">
      <c r="A29" s="135" t="s">
        <v>64</v>
      </c>
      <c r="B29" s="136">
        <v>45467</v>
      </c>
      <c r="C29" s="194" t="s">
        <v>742</v>
      </c>
      <c r="D29" s="194"/>
      <c r="E29" s="194"/>
      <c r="F29" s="194"/>
      <c r="G29" s="194"/>
      <c r="H29" s="194"/>
      <c r="I29" s="194"/>
      <c r="J29" s="135"/>
      <c r="K29" s="21">
        <v>65.333333333333329</v>
      </c>
      <c r="L29" s="21">
        <v>96.625</v>
      </c>
      <c r="M29" s="21">
        <f t="shared" ref="M29" si="5">L29-K29</f>
        <v>31.291666666666671</v>
      </c>
    </row>
    <row r="30" spans="1:13" ht="15" customHeight="1" x14ac:dyDescent="0.25">
      <c r="A30" s="135" t="s">
        <v>65</v>
      </c>
      <c r="B30" s="136">
        <v>45468</v>
      </c>
      <c r="C30" s="218" t="s">
        <v>171</v>
      </c>
      <c r="D30" s="219"/>
      <c r="E30" s="219"/>
      <c r="F30" s="219"/>
      <c r="G30" s="219"/>
      <c r="H30" s="219"/>
      <c r="I30" s="220"/>
      <c r="J30" s="135"/>
      <c r="K30" s="21" t="s">
        <v>171</v>
      </c>
      <c r="L30" s="21" t="s">
        <v>171</v>
      </c>
      <c r="M30" s="21" t="s">
        <v>171</v>
      </c>
    </row>
    <row r="31" spans="1:13" ht="15" customHeight="1" x14ac:dyDescent="0.25">
      <c r="A31" s="135" t="s">
        <v>66</v>
      </c>
      <c r="B31" s="136">
        <v>45469</v>
      </c>
      <c r="C31" s="221" t="s">
        <v>742</v>
      </c>
      <c r="D31" s="222"/>
      <c r="E31" s="222"/>
      <c r="F31" s="222"/>
      <c r="G31" s="222"/>
      <c r="H31" s="222"/>
      <c r="I31" s="223"/>
      <c r="J31" s="135"/>
      <c r="K31" s="21">
        <v>65.319444444444443</v>
      </c>
      <c r="L31" s="21">
        <v>96.625</v>
      </c>
      <c r="M31" s="21">
        <f t="shared" ref="M31:M33" si="6">L31-K31</f>
        <v>31.305555555555557</v>
      </c>
    </row>
    <row r="32" spans="1:13" x14ac:dyDescent="0.25">
      <c r="A32" s="135" t="s">
        <v>67</v>
      </c>
      <c r="B32" s="136">
        <v>45470</v>
      </c>
      <c r="C32" s="221" t="s">
        <v>743</v>
      </c>
      <c r="D32" s="222"/>
      <c r="E32" s="222"/>
      <c r="F32" s="222"/>
      <c r="G32" s="222"/>
      <c r="H32" s="222"/>
      <c r="I32" s="223"/>
      <c r="J32" s="135"/>
      <c r="K32" s="21">
        <v>65.319444444444443</v>
      </c>
      <c r="L32" s="21">
        <v>96.625</v>
      </c>
      <c r="M32" s="21">
        <f t="shared" si="6"/>
        <v>31.305555555555557</v>
      </c>
    </row>
    <row r="33" spans="1:13" x14ac:dyDescent="0.25">
      <c r="A33" s="135" t="s">
        <v>68</v>
      </c>
      <c r="B33" s="136">
        <v>45471</v>
      </c>
      <c r="C33" s="221" t="s">
        <v>742</v>
      </c>
      <c r="D33" s="222"/>
      <c r="E33" s="222"/>
      <c r="F33" s="222"/>
      <c r="G33" s="222"/>
      <c r="H33" s="222"/>
      <c r="I33" s="223"/>
      <c r="J33" s="135"/>
      <c r="K33" s="21">
        <v>65.395833333333329</v>
      </c>
      <c r="L33" s="21">
        <v>96.674305555555549</v>
      </c>
      <c r="M33" s="21">
        <f t="shared" si="6"/>
        <v>31.27847222222222</v>
      </c>
    </row>
    <row r="34" spans="1:13" x14ac:dyDescent="0.25">
      <c r="A34" s="133" t="s">
        <v>69</v>
      </c>
      <c r="B34" s="134">
        <v>45472</v>
      </c>
      <c r="C34" s="217"/>
      <c r="D34" s="217"/>
      <c r="E34" s="217"/>
      <c r="F34" s="217"/>
      <c r="G34" s="217"/>
      <c r="H34" s="217"/>
      <c r="I34" s="217"/>
      <c r="J34" s="133"/>
      <c r="K34" s="124"/>
      <c r="L34" s="124"/>
      <c r="M34" s="124"/>
    </row>
    <row r="35" spans="1:13" x14ac:dyDescent="0.25">
      <c r="A35" s="133" t="s">
        <v>30</v>
      </c>
      <c r="B35" s="134">
        <v>45473</v>
      </c>
      <c r="C35" s="216"/>
      <c r="D35" s="216"/>
      <c r="E35" s="216"/>
      <c r="F35" s="216"/>
      <c r="G35" s="216"/>
      <c r="H35" s="216"/>
      <c r="I35" s="216"/>
      <c r="J35" s="133"/>
      <c r="K35" s="124"/>
      <c r="L35" s="124"/>
      <c r="M35" s="124"/>
    </row>
    <row r="1048571" spans="11:12" x14ac:dyDescent="0.25">
      <c r="K1048571" s="21"/>
      <c r="L1048571" s="21"/>
    </row>
  </sheetData>
  <mergeCells count="37">
    <mergeCell ref="C11:I11"/>
    <mergeCell ref="A1:A5"/>
    <mergeCell ref="B1:M1"/>
    <mergeCell ref="C2:E2"/>
    <mergeCell ref="G2:M2"/>
    <mergeCell ref="C3:E3"/>
    <mergeCell ref="G3:M3"/>
    <mergeCell ref="C5:J5"/>
    <mergeCell ref="C6:I6"/>
    <mergeCell ref="C7:I7"/>
    <mergeCell ref="C8:I8"/>
    <mergeCell ref="C9:I9"/>
    <mergeCell ref="C10:I10"/>
    <mergeCell ref="C23:I23"/>
    <mergeCell ref="C12:I12"/>
    <mergeCell ref="C13:I13"/>
    <mergeCell ref="C14:I14"/>
    <mergeCell ref="C15:I15"/>
    <mergeCell ref="C16:I16"/>
    <mergeCell ref="C17:I17"/>
    <mergeCell ref="C18:I18"/>
    <mergeCell ref="C19:I19"/>
    <mergeCell ref="C20:I20"/>
    <mergeCell ref="C21:I21"/>
    <mergeCell ref="C22:I22"/>
    <mergeCell ref="C35:I35"/>
    <mergeCell ref="C24:I24"/>
    <mergeCell ref="C25:I25"/>
    <mergeCell ref="C26:I26"/>
    <mergeCell ref="C27:I27"/>
    <mergeCell ref="C28:I28"/>
    <mergeCell ref="C29:I29"/>
    <mergeCell ref="C30:I30"/>
    <mergeCell ref="C31:I31"/>
    <mergeCell ref="C32:I32"/>
    <mergeCell ref="C33:I33"/>
    <mergeCell ref="C34:I3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EE93-20C0-4D06-9339-ECDFC0E233A7}">
  <dimension ref="A1:M1048572"/>
  <sheetViews>
    <sheetView zoomScaleNormal="100" workbookViewId="0">
      <selection activeCell="C22" sqref="C22:I22"/>
    </sheetView>
  </sheetViews>
  <sheetFormatPr defaultColWidth="9.140625" defaultRowHeight="15" x14ac:dyDescent="0.25"/>
  <cols>
    <col min="1" max="1" width="11.42578125" style="125" bestFit="1" customWidth="1"/>
    <col min="2" max="2" width="15.7109375" style="125" bestFit="1" customWidth="1"/>
    <col min="3" max="4" width="9.140625" style="125"/>
    <col min="5" max="5" width="23.85546875" style="125" customWidth="1"/>
    <col min="6" max="6" width="54.140625" style="125" customWidth="1"/>
    <col min="7" max="8" width="9.140625" style="125"/>
    <col min="9" max="9" width="38" style="125" customWidth="1"/>
    <col min="10" max="10" width="9.140625" style="125"/>
    <col min="11" max="11" width="11.5703125" style="142" bestFit="1" customWidth="1"/>
    <col min="12" max="12" width="9.140625" style="141"/>
    <col min="13" max="13" width="10.28515625" style="125" bestFit="1" customWidth="1"/>
    <col min="14" max="16384" width="9.140625" style="125"/>
  </cols>
  <sheetData>
    <row r="1" spans="1:13" ht="18.75" x14ac:dyDescent="0.3">
      <c r="A1" s="195"/>
      <c r="B1" s="215" t="s">
        <v>0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</row>
    <row r="2" spans="1:13" x14ac:dyDescent="0.25">
      <c r="A2" s="195"/>
      <c r="B2" s="126" t="s">
        <v>1</v>
      </c>
      <c r="C2" s="200" t="s">
        <v>34</v>
      </c>
      <c r="D2" s="200"/>
      <c r="E2" s="200"/>
      <c r="F2" s="126" t="s">
        <v>8</v>
      </c>
      <c r="G2" s="200" t="s">
        <v>682</v>
      </c>
      <c r="H2" s="200"/>
      <c r="I2" s="200"/>
      <c r="J2" s="200"/>
      <c r="K2" s="200"/>
      <c r="L2" s="200"/>
      <c r="M2" s="200"/>
    </row>
    <row r="3" spans="1:13" x14ac:dyDescent="0.25">
      <c r="A3" s="195"/>
      <c r="B3" s="126" t="s">
        <v>2</v>
      </c>
      <c r="C3" s="200" t="s">
        <v>36</v>
      </c>
      <c r="D3" s="200"/>
      <c r="E3" s="200"/>
      <c r="F3" s="126" t="s">
        <v>3</v>
      </c>
      <c r="G3" s="200" t="s">
        <v>13</v>
      </c>
      <c r="H3" s="200"/>
      <c r="I3" s="200"/>
      <c r="J3" s="200"/>
      <c r="K3" s="200"/>
      <c r="L3" s="200"/>
      <c r="M3" s="200"/>
    </row>
    <row r="4" spans="1:13" x14ac:dyDescent="0.25">
      <c r="A4" s="195"/>
      <c r="B4" s="127"/>
      <c r="C4" s="127"/>
      <c r="D4" s="127"/>
      <c r="E4" s="127"/>
      <c r="F4" s="127"/>
      <c r="G4" s="127"/>
      <c r="H4" s="127"/>
      <c r="I4" s="127"/>
      <c r="J4" s="127"/>
      <c r="K4" s="128"/>
      <c r="L4" s="129"/>
      <c r="M4" s="129"/>
    </row>
    <row r="5" spans="1:13" x14ac:dyDescent="0.25">
      <c r="A5" s="195"/>
      <c r="B5" s="130" t="s">
        <v>7</v>
      </c>
      <c r="C5" s="197" t="s">
        <v>4</v>
      </c>
      <c r="D5" s="197"/>
      <c r="E5" s="197"/>
      <c r="F5" s="197"/>
      <c r="G5" s="197"/>
      <c r="H5" s="197"/>
      <c r="I5" s="197"/>
      <c r="J5" s="197"/>
      <c r="K5" s="131" t="s">
        <v>5</v>
      </c>
      <c r="L5" s="132" t="s">
        <v>6</v>
      </c>
      <c r="M5" s="130" t="s">
        <v>491</v>
      </c>
    </row>
    <row r="6" spans="1:13" ht="15" customHeight="1" x14ac:dyDescent="0.25">
      <c r="A6" s="133" t="s">
        <v>96</v>
      </c>
      <c r="B6" s="134">
        <v>45413</v>
      </c>
      <c r="C6" s="224" t="s">
        <v>704</v>
      </c>
      <c r="D6" s="224"/>
      <c r="E6" s="224"/>
      <c r="F6" s="224"/>
      <c r="G6" s="224"/>
      <c r="H6" s="224"/>
      <c r="I6" s="224"/>
      <c r="J6" s="133"/>
      <c r="K6" s="124"/>
      <c r="L6" s="124"/>
      <c r="M6" s="124"/>
    </row>
    <row r="7" spans="1:13" x14ac:dyDescent="0.25">
      <c r="A7" s="135" t="s">
        <v>67</v>
      </c>
      <c r="B7" s="136">
        <v>45414</v>
      </c>
      <c r="C7" s="194" t="s">
        <v>716</v>
      </c>
      <c r="D7" s="194"/>
      <c r="E7" s="194"/>
      <c r="F7" s="194"/>
      <c r="G7" s="194"/>
      <c r="H7" s="194"/>
      <c r="I7" s="194"/>
      <c r="J7" s="135"/>
      <c r="K7" s="21">
        <v>65.333333333333329</v>
      </c>
      <c r="L7" s="21">
        <v>96.666666666666671</v>
      </c>
      <c r="M7" s="21">
        <f t="shared" ref="M7" si="0">L7-K7</f>
        <v>31.333333333333343</v>
      </c>
    </row>
    <row r="8" spans="1:13" x14ac:dyDescent="0.25">
      <c r="A8" s="135" t="s">
        <v>68</v>
      </c>
      <c r="B8" s="136">
        <v>45415</v>
      </c>
      <c r="C8" s="194" t="s">
        <v>717</v>
      </c>
      <c r="D8" s="194"/>
      <c r="E8" s="194"/>
      <c r="F8" s="194"/>
      <c r="G8" s="194"/>
      <c r="H8" s="194"/>
      <c r="I8" s="194"/>
      <c r="J8" s="135"/>
      <c r="K8" s="21" t="s">
        <v>171</v>
      </c>
      <c r="L8" s="21" t="s">
        <v>171</v>
      </c>
      <c r="M8" s="21" t="s">
        <v>171</v>
      </c>
    </row>
    <row r="9" spans="1:13" x14ac:dyDescent="0.25">
      <c r="A9" s="143" t="s">
        <v>69</v>
      </c>
      <c r="B9" s="144">
        <v>45416</v>
      </c>
      <c r="C9" s="226"/>
      <c r="D9" s="226"/>
      <c r="E9" s="226"/>
      <c r="F9" s="226"/>
      <c r="G9" s="226"/>
      <c r="H9" s="226"/>
      <c r="I9" s="226"/>
      <c r="J9" s="154"/>
      <c r="K9" s="145"/>
      <c r="L9" s="145"/>
      <c r="M9" s="145"/>
    </row>
    <row r="10" spans="1:13" x14ac:dyDescent="0.25">
      <c r="A10" s="143" t="s">
        <v>30</v>
      </c>
      <c r="B10" s="144">
        <v>45417</v>
      </c>
      <c r="C10" s="225"/>
      <c r="D10" s="225"/>
      <c r="E10" s="225"/>
      <c r="F10" s="225"/>
      <c r="G10" s="225"/>
      <c r="H10" s="225"/>
      <c r="I10" s="225"/>
      <c r="J10" s="154"/>
      <c r="K10" s="145"/>
      <c r="L10" s="145"/>
      <c r="M10" s="145"/>
    </row>
    <row r="11" spans="1:13" x14ac:dyDescent="0.25">
      <c r="A11" s="135" t="s">
        <v>64</v>
      </c>
      <c r="B11" s="136">
        <v>45418</v>
      </c>
      <c r="C11" s="196" t="s">
        <v>718</v>
      </c>
      <c r="D11" s="196"/>
      <c r="E11" s="196"/>
      <c r="F11" s="196"/>
      <c r="G11" s="196"/>
      <c r="H11" s="196"/>
      <c r="I11" s="196"/>
      <c r="J11" s="51"/>
      <c r="K11" s="21">
        <v>65.326388888888886</v>
      </c>
      <c r="L11" s="21">
        <v>96.666666666666671</v>
      </c>
      <c r="M11" s="21">
        <f t="shared" ref="M11" si="1">L11-K11</f>
        <v>31.340277777777786</v>
      </c>
    </row>
    <row r="12" spans="1:13" x14ac:dyDescent="0.25">
      <c r="A12" s="135" t="s">
        <v>65</v>
      </c>
      <c r="B12" s="136">
        <v>45419</v>
      </c>
      <c r="C12" s="196" t="s">
        <v>718</v>
      </c>
      <c r="D12" s="196"/>
      <c r="E12" s="196"/>
      <c r="F12" s="196"/>
      <c r="G12" s="196"/>
      <c r="H12" s="196"/>
      <c r="I12" s="196"/>
      <c r="J12" s="51"/>
      <c r="K12" s="21" t="s">
        <v>171</v>
      </c>
      <c r="L12" s="21" t="s">
        <v>171</v>
      </c>
      <c r="M12" s="21" t="s">
        <v>171</v>
      </c>
    </row>
    <row r="13" spans="1:13" x14ac:dyDescent="0.25">
      <c r="A13" s="135" t="s">
        <v>96</v>
      </c>
      <c r="B13" s="136">
        <v>45420</v>
      </c>
      <c r="C13" s="194" t="s">
        <v>720</v>
      </c>
      <c r="D13" s="194"/>
      <c r="E13" s="194"/>
      <c r="F13" s="194"/>
      <c r="G13" s="194"/>
      <c r="H13" s="194"/>
      <c r="I13" s="194"/>
      <c r="J13" s="135"/>
      <c r="K13" s="21">
        <v>65.333333333333329</v>
      </c>
      <c r="L13" s="21">
        <v>96.666666666666671</v>
      </c>
      <c r="M13" s="21">
        <f t="shared" ref="M13:M35" si="2">L13-K13</f>
        <v>31.333333333333343</v>
      </c>
    </row>
    <row r="14" spans="1:13" x14ac:dyDescent="0.25">
      <c r="A14" s="135" t="s">
        <v>67</v>
      </c>
      <c r="B14" s="136">
        <v>45421</v>
      </c>
      <c r="C14" s="194" t="s">
        <v>719</v>
      </c>
      <c r="D14" s="194"/>
      <c r="E14" s="194"/>
      <c r="F14" s="194"/>
      <c r="G14" s="194"/>
      <c r="H14" s="194"/>
      <c r="I14" s="194"/>
      <c r="J14" s="135"/>
      <c r="K14" s="21">
        <v>65.333333333333329</v>
      </c>
      <c r="L14" s="21">
        <v>96.65625</v>
      </c>
      <c r="M14" s="21">
        <f t="shared" si="2"/>
        <v>31.322916666666671</v>
      </c>
    </row>
    <row r="15" spans="1:13" x14ac:dyDescent="0.25">
      <c r="A15" s="135" t="s">
        <v>68</v>
      </c>
      <c r="B15" s="136">
        <v>45422</v>
      </c>
      <c r="C15" s="194" t="s">
        <v>717</v>
      </c>
      <c r="D15" s="194"/>
      <c r="E15" s="194"/>
      <c r="F15" s="194"/>
      <c r="G15" s="194"/>
      <c r="H15" s="194"/>
      <c r="I15" s="194"/>
      <c r="J15" s="135"/>
      <c r="K15" s="21" t="s">
        <v>171</v>
      </c>
      <c r="L15" s="21" t="s">
        <v>171</v>
      </c>
      <c r="M15" s="21" t="s">
        <v>171</v>
      </c>
    </row>
    <row r="16" spans="1:13" x14ac:dyDescent="0.25">
      <c r="A16" s="143" t="s">
        <v>69</v>
      </c>
      <c r="B16" s="144">
        <v>45423</v>
      </c>
      <c r="C16" s="226"/>
      <c r="D16" s="226"/>
      <c r="E16" s="226"/>
      <c r="F16" s="226"/>
      <c r="G16" s="226"/>
      <c r="H16" s="226"/>
      <c r="I16" s="226"/>
      <c r="J16" s="154"/>
      <c r="K16" s="145"/>
      <c r="L16" s="145"/>
      <c r="M16" s="145"/>
    </row>
    <row r="17" spans="1:13" x14ac:dyDescent="0.25">
      <c r="A17" s="143" t="s">
        <v>30</v>
      </c>
      <c r="B17" s="144">
        <v>45424</v>
      </c>
      <c r="C17" s="225"/>
      <c r="D17" s="225"/>
      <c r="E17" s="225"/>
      <c r="F17" s="225"/>
      <c r="G17" s="225"/>
      <c r="H17" s="225"/>
      <c r="I17" s="225"/>
      <c r="J17" s="154"/>
      <c r="K17" s="145"/>
      <c r="L17" s="145"/>
      <c r="M17" s="145"/>
    </row>
    <row r="18" spans="1:13" ht="15" customHeight="1" x14ac:dyDescent="0.25">
      <c r="A18" s="143" t="s">
        <v>64</v>
      </c>
      <c r="B18" s="144">
        <v>45425</v>
      </c>
      <c r="C18" s="227" t="s">
        <v>721</v>
      </c>
      <c r="D18" s="228"/>
      <c r="E18" s="228"/>
      <c r="F18" s="228"/>
      <c r="G18" s="228"/>
      <c r="H18" s="228"/>
      <c r="I18" s="229"/>
      <c r="J18" s="143"/>
      <c r="K18" s="145"/>
      <c r="L18" s="145"/>
      <c r="M18" s="145"/>
    </row>
    <row r="19" spans="1:13" x14ac:dyDescent="0.25">
      <c r="A19" s="135" t="s">
        <v>65</v>
      </c>
      <c r="B19" s="136">
        <v>45426</v>
      </c>
      <c r="C19" s="196" t="s">
        <v>722</v>
      </c>
      <c r="D19" s="196"/>
      <c r="E19" s="196"/>
      <c r="F19" s="196"/>
      <c r="G19" s="196"/>
      <c r="H19" s="196"/>
      <c r="I19" s="196"/>
      <c r="J19" s="135"/>
      <c r="K19" s="21">
        <v>65.333333333333329</v>
      </c>
      <c r="L19" s="21">
        <v>96.534722222222229</v>
      </c>
      <c r="M19" s="21">
        <f t="shared" ref="M19" si="3">L19-K19</f>
        <v>31.2013888888889</v>
      </c>
    </row>
    <row r="20" spans="1:13" ht="15" customHeight="1" x14ac:dyDescent="0.25">
      <c r="A20" s="135" t="s">
        <v>96</v>
      </c>
      <c r="B20" s="136">
        <v>45427</v>
      </c>
      <c r="C20" s="218" t="s">
        <v>723</v>
      </c>
      <c r="D20" s="219"/>
      <c r="E20" s="219"/>
      <c r="F20" s="219"/>
      <c r="G20" s="219"/>
      <c r="H20" s="219"/>
      <c r="I20" s="220"/>
      <c r="J20" s="135"/>
      <c r="K20" s="21">
        <v>65.333333333333329</v>
      </c>
      <c r="L20" s="21">
        <v>96.666666666666671</v>
      </c>
      <c r="M20" s="21">
        <f t="shared" ref="M20:M23" si="4">L20-K20</f>
        <v>31.333333333333343</v>
      </c>
    </row>
    <row r="21" spans="1:13" x14ac:dyDescent="0.25">
      <c r="A21" s="135" t="s">
        <v>67</v>
      </c>
      <c r="B21" s="136">
        <v>45428</v>
      </c>
      <c r="C21" s="196" t="s">
        <v>724</v>
      </c>
      <c r="D21" s="196"/>
      <c r="E21" s="196"/>
      <c r="F21" s="196"/>
      <c r="G21" s="196"/>
      <c r="H21" s="196"/>
      <c r="I21" s="196"/>
      <c r="J21" s="135"/>
      <c r="K21" s="21">
        <v>65.333333333333329</v>
      </c>
      <c r="L21" s="21">
        <v>96.666666666666671</v>
      </c>
      <c r="M21" s="21">
        <f>L21-K21</f>
        <v>31.333333333333343</v>
      </c>
    </row>
    <row r="22" spans="1:13" x14ac:dyDescent="0.25">
      <c r="A22" s="135" t="s">
        <v>68</v>
      </c>
      <c r="B22" s="136">
        <v>45429</v>
      </c>
      <c r="C22" s="194" t="s">
        <v>725</v>
      </c>
      <c r="D22" s="194"/>
      <c r="E22" s="194"/>
      <c r="F22" s="194"/>
      <c r="G22" s="194"/>
      <c r="H22" s="194"/>
      <c r="I22" s="194"/>
      <c r="J22" s="135"/>
      <c r="K22" s="21">
        <v>65.333333333333329</v>
      </c>
      <c r="L22" s="21">
        <v>96.666666666666671</v>
      </c>
      <c r="M22" s="21">
        <f t="shared" si="4"/>
        <v>31.333333333333343</v>
      </c>
    </row>
    <row r="23" spans="1:13" x14ac:dyDescent="0.25">
      <c r="A23" s="143" t="s">
        <v>69</v>
      </c>
      <c r="B23" s="144">
        <v>45430</v>
      </c>
      <c r="C23" s="230"/>
      <c r="D23" s="231"/>
      <c r="E23" s="231"/>
      <c r="F23" s="231"/>
      <c r="G23" s="231"/>
      <c r="H23" s="231"/>
      <c r="I23" s="232"/>
      <c r="J23" s="155"/>
      <c r="K23" s="145">
        <v>65.305555555555557</v>
      </c>
      <c r="L23" s="145">
        <v>96.645833333333329</v>
      </c>
      <c r="M23" s="145">
        <f t="shared" si="4"/>
        <v>31.340277777777771</v>
      </c>
    </row>
    <row r="24" spans="1:13" x14ac:dyDescent="0.25">
      <c r="A24" s="143" t="s">
        <v>30</v>
      </c>
      <c r="B24" s="144">
        <v>45431</v>
      </c>
      <c r="C24" s="233"/>
      <c r="D24" s="233"/>
      <c r="E24" s="233"/>
      <c r="F24" s="233"/>
      <c r="G24" s="233"/>
      <c r="H24" s="233"/>
      <c r="I24" s="233"/>
      <c r="J24" s="155"/>
      <c r="K24" s="145" t="s">
        <v>171</v>
      </c>
      <c r="L24" s="145" t="s">
        <v>171</v>
      </c>
      <c r="M24" s="145" t="s">
        <v>171</v>
      </c>
    </row>
    <row r="25" spans="1:13" x14ac:dyDescent="0.25">
      <c r="A25" s="135" t="s">
        <v>64</v>
      </c>
      <c r="B25" s="136">
        <v>45432</v>
      </c>
      <c r="C25" s="195" t="s">
        <v>726</v>
      </c>
      <c r="D25" s="195"/>
      <c r="E25" s="195"/>
      <c r="F25" s="195"/>
      <c r="G25" s="195"/>
      <c r="H25" s="195"/>
      <c r="I25" s="195"/>
      <c r="J25" s="146"/>
      <c r="K25" s="21">
        <v>65.326388888888886</v>
      </c>
      <c r="L25" s="21">
        <v>96.666666666666671</v>
      </c>
      <c r="M25" s="21">
        <f t="shared" ref="M25" si="5">L25-K25</f>
        <v>31.340277777777786</v>
      </c>
    </row>
    <row r="26" spans="1:13" customFormat="1" x14ac:dyDescent="0.25">
      <c r="A26" s="135" t="s">
        <v>65</v>
      </c>
      <c r="B26" s="136">
        <v>45433</v>
      </c>
      <c r="C26" s="195" t="s">
        <v>171</v>
      </c>
      <c r="D26" s="195"/>
      <c r="E26" s="195"/>
      <c r="F26" s="195"/>
      <c r="G26" s="195"/>
      <c r="H26" s="195"/>
      <c r="I26" s="195"/>
      <c r="J26" s="37"/>
      <c r="K26" s="21" t="s">
        <v>171</v>
      </c>
      <c r="L26" s="21" t="s">
        <v>171</v>
      </c>
      <c r="M26" s="21" t="s">
        <v>171</v>
      </c>
    </row>
    <row r="27" spans="1:13" x14ac:dyDescent="0.25">
      <c r="A27" s="135" t="s">
        <v>96</v>
      </c>
      <c r="B27" s="136">
        <v>45434</v>
      </c>
      <c r="C27" s="195" t="s">
        <v>171</v>
      </c>
      <c r="D27" s="195"/>
      <c r="E27" s="195"/>
      <c r="F27" s="195"/>
      <c r="G27" s="195"/>
      <c r="H27" s="195"/>
      <c r="I27" s="195"/>
      <c r="J27" s="135"/>
      <c r="K27" s="21" t="s">
        <v>171</v>
      </c>
      <c r="L27" s="21" t="s">
        <v>171</v>
      </c>
      <c r="M27" s="21" t="s">
        <v>171</v>
      </c>
    </row>
    <row r="28" spans="1:13" x14ac:dyDescent="0.25">
      <c r="A28" s="135" t="s">
        <v>67</v>
      </c>
      <c r="B28" s="136">
        <v>45435</v>
      </c>
      <c r="C28" s="194" t="s">
        <v>727</v>
      </c>
      <c r="D28" s="194"/>
      <c r="E28" s="194"/>
      <c r="F28" s="194"/>
      <c r="G28" s="194"/>
      <c r="H28" s="194"/>
      <c r="I28" s="194"/>
      <c r="J28" s="135"/>
      <c r="K28" s="21">
        <v>65.333333333333329</v>
      </c>
      <c r="L28" s="21">
        <v>96.677083333333329</v>
      </c>
      <c r="M28" s="21">
        <f t="shared" ref="M28:M29" si="6">L28-K28</f>
        <v>31.34375</v>
      </c>
    </row>
    <row r="29" spans="1:13" x14ac:dyDescent="0.25">
      <c r="A29" s="135" t="s">
        <v>68</v>
      </c>
      <c r="B29" s="136">
        <v>45436</v>
      </c>
      <c r="C29" s="194" t="s">
        <v>728</v>
      </c>
      <c r="D29" s="194"/>
      <c r="E29" s="194"/>
      <c r="F29" s="194"/>
      <c r="G29" s="194"/>
      <c r="H29" s="194"/>
      <c r="I29" s="194"/>
      <c r="J29" s="135"/>
      <c r="K29" s="21">
        <v>65.333333333333329</v>
      </c>
      <c r="L29" s="21">
        <v>96.666666666666671</v>
      </c>
      <c r="M29" s="21">
        <f t="shared" si="6"/>
        <v>31.333333333333343</v>
      </c>
    </row>
    <row r="30" spans="1:13" x14ac:dyDescent="0.25">
      <c r="A30" s="143" t="s">
        <v>69</v>
      </c>
      <c r="B30" s="144">
        <v>45437</v>
      </c>
      <c r="C30" s="225"/>
      <c r="D30" s="225"/>
      <c r="E30" s="225"/>
      <c r="F30" s="225"/>
      <c r="G30" s="225"/>
      <c r="H30" s="225"/>
      <c r="I30" s="225"/>
      <c r="J30" s="143"/>
      <c r="K30" s="145"/>
      <c r="L30" s="145"/>
      <c r="M30" s="145"/>
    </row>
    <row r="31" spans="1:13" x14ac:dyDescent="0.25">
      <c r="A31" s="143" t="s">
        <v>30</v>
      </c>
      <c r="B31" s="144">
        <v>45438</v>
      </c>
      <c r="C31" s="233"/>
      <c r="D31" s="233"/>
      <c r="E31" s="233"/>
      <c r="F31" s="233"/>
      <c r="G31" s="233"/>
      <c r="H31" s="233"/>
      <c r="I31" s="233"/>
      <c r="J31" s="143"/>
      <c r="K31" s="145"/>
      <c r="L31" s="145"/>
      <c r="M31" s="145"/>
    </row>
    <row r="32" spans="1:13" x14ac:dyDescent="0.25">
      <c r="A32" s="135" t="s">
        <v>64</v>
      </c>
      <c r="B32" s="136">
        <v>45439</v>
      </c>
      <c r="C32" s="234" t="s">
        <v>729</v>
      </c>
      <c r="D32" s="235"/>
      <c r="E32" s="235"/>
      <c r="F32" s="235"/>
      <c r="G32" s="235"/>
      <c r="H32" s="235"/>
      <c r="I32" s="235"/>
      <c r="J32" s="135"/>
      <c r="K32" s="21"/>
      <c r="L32" s="21"/>
      <c r="M32" s="21"/>
    </row>
    <row r="33" spans="1:13" x14ac:dyDescent="0.25">
      <c r="A33" s="135" t="s">
        <v>65</v>
      </c>
      <c r="B33" s="136">
        <v>45440</v>
      </c>
      <c r="C33" s="234" t="s">
        <v>730</v>
      </c>
      <c r="D33" s="235"/>
      <c r="E33" s="235"/>
      <c r="F33" s="235"/>
      <c r="G33" s="235"/>
      <c r="H33" s="235"/>
      <c r="I33" s="235"/>
      <c r="J33" s="135"/>
      <c r="K33" s="21">
        <v>65.340277777777771</v>
      </c>
      <c r="L33" s="21">
        <v>96.674305555555549</v>
      </c>
      <c r="M33" s="21">
        <f t="shared" si="2"/>
        <v>31.334027777777777</v>
      </c>
    </row>
    <row r="34" spans="1:13" x14ac:dyDescent="0.25">
      <c r="A34" s="135" t="s">
        <v>66</v>
      </c>
      <c r="B34" s="136">
        <v>45441</v>
      </c>
      <c r="C34" s="195" t="s">
        <v>731</v>
      </c>
      <c r="D34" s="195"/>
      <c r="E34" s="195"/>
      <c r="F34" s="195"/>
      <c r="G34" s="195"/>
      <c r="H34" s="195"/>
      <c r="I34" s="195"/>
      <c r="J34" s="135"/>
      <c r="K34" s="21">
        <v>65.333333333333329</v>
      </c>
      <c r="L34" s="21">
        <v>96.666666666666671</v>
      </c>
      <c r="M34" s="21">
        <f t="shared" si="2"/>
        <v>31.333333333333343</v>
      </c>
    </row>
    <row r="35" spans="1:13" x14ac:dyDescent="0.25">
      <c r="A35" s="135" t="s">
        <v>67</v>
      </c>
      <c r="B35" s="136">
        <v>45442</v>
      </c>
      <c r="C35" s="194" t="s">
        <v>732</v>
      </c>
      <c r="D35" s="194"/>
      <c r="E35" s="194"/>
      <c r="F35" s="194"/>
      <c r="G35" s="194"/>
      <c r="H35" s="194"/>
      <c r="I35" s="194"/>
      <c r="J35" s="135"/>
      <c r="K35" s="21">
        <v>65.340277777777771</v>
      </c>
      <c r="L35" s="21">
        <v>96.666666666666671</v>
      </c>
      <c r="M35" s="21">
        <f t="shared" si="2"/>
        <v>31.3263888888889</v>
      </c>
    </row>
    <row r="36" spans="1:13" x14ac:dyDescent="0.25">
      <c r="A36" s="135" t="s">
        <v>68</v>
      </c>
      <c r="B36" s="136">
        <v>45443</v>
      </c>
      <c r="C36" s="195" t="s">
        <v>171</v>
      </c>
      <c r="D36" s="195"/>
      <c r="E36" s="195"/>
      <c r="F36" s="195"/>
      <c r="G36" s="195"/>
      <c r="H36" s="195"/>
      <c r="I36" s="195"/>
      <c r="J36" s="135"/>
      <c r="K36" s="100"/>
      <c r="L36" s="35"/>
      <c r="M36" s="135"/>
    </row>
    <row r="1048572" spans="11:12" x14ac:dyDescent="0.25">
      <c r="K1048572" s="21"/>
      <c r="L1048572" s="21"/>
    </row>
  </sheetData>
  <mergeCells count="38">
    <mergeCell ref="C36:I36"/>
    <mergeCell ref="C30:I30"/>
    <mergeCell ref="C31:I31"/>
    <mergeCell ref="C32:I32"/>
    <mergeCell ref="C33:I33"/>
    <mergeCell ref="C34:I34"/>
    <mergeCell ref="C35:I35"/>
    <mergeCell ref="C29:I29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17:I17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A1:A5"/>
    <mergeCell ref="B1:M1"/>
    <mergeCell ref="C2:E2"/>
    <mergeCell ref="G2:M2"/>
    <mergeCell ref="C3:E3"/>
    <mergeCell ref="G3:M3"/>
    <mergeCell ref="C5:J5"/>
  </mergeCells>
  <phoneticPr fontId="6" type="noConversion"/>
  <conditionalFormatting sqref="A6:M6">
    <cfRule type="expression" dxfId="1" priority="2">
      <formula>A6="Saturday"</formula>
    </cfRule>
  </conditionalFormatting>
  <conditionalFormatting sqref="C18:I18">
    <cfRule type="expression" dxfId="0" priority="1">
      <formula>C18="Saturday"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2C4F-3B34-453B-931C-C09532CD7AE7}">
  <dimension ref="A1:M1048572"/>
  <sheetViews>
    <sheetView zoomScaleNormal="100" workbookViewId="0">
      <selection activeCell="C22" sqref="C22:I22"/>
    </sheetView>
  </sheetViews>
  <sheetFormatPr defaultColWidth="9.140625" defaultRowHeight="15" x14ac:dyDescent="0.25"/>
  <cols>
    <col min="1" max="1" width="11.42578125" style="125" bestFit="1" customWidth="1"/>
    <col min="2" max="2" width="15.7109375" style="125" bestFit="1" customWidth="1"/>
    <col min="3" max="4" width="9.140625" style="125"/>
    <col min="5" max="5" width="23.85546875" style="125" customWidth="1"/>
    <col min="6" max="6" width="54.140625" style="125" customWidth="1"/>
    <col min="7" max="8" width="9.140625" style="125"/>
    <col min="9" max="9" width="38" style="125" customWidth="1"/>
    <col min="10" max="10" width="9.140625" style="125"/>
    <col min="11" max="11" width="11.5703125" style="142" bestFit="1" customWidth="1"/>
    <col min="12" max="12" width="9.140625" style="141"/>
    <col min="13" max="13" width="10.28515625" style="125" bestFit="1" customWidth="1"/>
    <col min="14" max="16384" width="9.140625" style="125"/>
  </cols>
  <sheetData>
    <row r="1" spans="1:13" ht="18.75" x14ac:dyDescent="0.3">
      <c r="A1" s="195"/>
      <c r="B1" s="215" t="s">
        <v>0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</row>
    <row r="2" spans="1:13" x14ac:dyDescent="0.25">
      <c r="A2" s="195"/>
      <c r="B2" s="126" t="s">
        <v>1</v>
      </c>
      <c r="C2" s="200" t="s">
        <v>34</v>
      </c>
      <c r="D2" s="200"/>
      <c r="E2" s="200"/>
      <c r="F2" s="126" t="s">
        <v>8</v>
      </c>
      <c r="G2" s="200" t="s">
        <v>682</v>
      </c>
      <c r="H2" s="200"/>
      <c r="I2" s="200"/>
      <c r="J2" s="200"/>
      <c r="K2" s="200"/>
      <c r="L2" s="200"/>
      <c r="M2" s="200"/>
    </row>
    <row r="3" spans="1:13" x14ac:dyDescent="0.25">
      <c r="A3" s="195"/>
      <c r="B3" s="126" t="s">
        <v>2</v>
      </c>
      <c r="C3" s="200" t="s">
        <v>36</v>
      </c>
      <c r="D3" s="200"/>
      <c r="E3" s="200"/>
      <c r="F3" s="126" t="s">
        <v>3</v>
      </c>
      <c r="G3" s="200" t="s">
        <v>13</v>
      </c>
      <c r="H3" s="200"/>
      <c r="I3" s="200"/>
      <c r="J3" s="200"/>
      <c r="K3" s="200"/>
      <c r="L3" s="200"/>
      <c r="M3" s="200"/>
    </row>
    <row r="4" spans="1:13" x14ac:dyDescent="0.25">
      <c r="A4" s="195"/>
      <c r="B4" s="127"/>
      <c r="C4" s="127"/>
      <c r="D4" s="127"/>
      <c r="E4" s="127"/>
      <c r="F4" s="127"/>
      <c r="G4" s="127"/>
      <c r="H4" s="127"/>
      <c r="I4" s="127"/>
      <c r="J4" s="127"/>
      <c r="K4" s="128"/>
      <c r="L4" s="129"/>
      <c r="M4" s="129"/>
    </row>
    <row r="5" spans="1:13" x14ac:dyDescent="0.25">
      <c r="A5" s="195"/>
      <c r="B5" s="130" t="s">
        <v>7</v>
      </c>
      <c r="C5" s="197" t="s">
        <v>4</v>
      </c>
      <c r="D5" s="197"/>
      <c r="E5" s="197"/>
      <c r="F5" s="197"/>
      <c r="G5" s="197"/>
      <c r="H5" s="197"/>
      <c r="I5" s="197"/>
      <c r="J5" s="197"/>
      <c r="K5" s="131" t="s">
        <v>5</v>
      </c>
      <c r="L5" s="132" t="s">
        <v>6</v>
      </c>
      <c r="M5" s="130" t="s">
        <v>491</v>
      </c>
    </row>
    <row r="6" spans="1:13" ht="15" customHeight="1" x14ac:dyDescent="0.25">
      <c r="A6" s="135" t="s">
        <v>64</v>
      </c>
      <c r="B6" s="136">
        <v>45383</v>
      </c>
      <c r="C6" s="196" t="s">
        <v>171</v>
      </c>
      <c r="D6" s="196"/>
      <c r="E6" s="196"/>
      <c r="F6" s="196"/>
      <c r="G6" s="196"/>
      <c r="H6" s="196"/>
      <c r="I6" s="196"/>
      <c r="J6" s="135"/>
      <c r="K6" s="21" t="s">
        <v>171</v>
      </c>
      <c r="L6" s="21" t="s">
        <v>171</v>
      </c>
      <c r="M6" s="21" t="s">
        <v>171</v>
      </c>
    </row>
    <row r="7" spans="1:13" x14ac:dyDescent="0.25">
      <c r="A7" s="167" t="s">
        <v>65</v>
      </c>
      <c r="B7" s="168">
        <v>45384</v>
      </c>
      <c r="C7" s="245" t="s">
        <v>268</v>
      </c>
      <c r="D7" s="245"/>
      <c r="E7" s="245"/>
      <c r="F7" s="245"/>
      <c r="G7" s="245"/>
      <c r="H7" s="245"/>
      <c r="I7" s="245"/>
      <c r="J7" s="167"/>
      <c r="K7" s="169" t="s">
        <v>268</v>
      </c>
      <c r="L7" s="169" t="s">
        <v>268</v>
      </c>
      <c r="M7" s="169" t="s">
        <v>268</v>
      </c>
    </row>
    <row r="8" spans="1:13" x14ac:dyDescent="0.25">
      <c r="A8" s="167" t="s">
        <v>96</v>
      </c>
      <c r="B8" s="168">
        <v>45385</v>
      </c>
      <c r="C8" s="245" t="s">
        <v>268</v>
      </c>
      <c r="D8" s="245"/>
      <c r="E8" s="245"/>
      <c r="F8" s="245"/>
      <c r="G8" s="245"/>
      <c r="H8" s="245"/>
      <c r="I8" s="245"/>
      <c r="J8" s="167"/>
      <c r="K8" s="169" t="s">
        <v>268</v>
      </c>
      <c r="L8" s="169" t="s">
        <v>268</v>
      </c>
      <c r="M8" s="169" t="s">
        <v>268</v>
      </c>
    </row>
    <row r="9" spans="1:13" x14ac:dyDescent="0.25">
      <c r="A9" s="135" t="s">
        <v>67</v>
      </c>
      <c r="B9" s="136">
        <v>45386</v>
      </c>
      <c r="C9" s="194" t="s">
        <v>171</v>
      </c>
      <c r="D9" s="194"/>
      <c r="E9" s="194"/>
      <c r="F9" s="194"/>
      <c r="G9" s="194"/>
      <c r="H9" s="194"/>
      <c r="I9" s="194"/>
      <c r="J9" s="51"/>
      <c r="K9" s="21" t="s">
        <v>171</v>
      </c>
      <c r="L9" s="21" t="s">
        <v>171</v>
      </c>
      <c r="M9" s="21" t="s">
        <v>171</v>
      </c>
    </row>
    <row r="10" spans="1:13" x14ac:dyDescent="0.25">
      <c r="A10" s="135" t="s">
        <v>68</v>
      </c>
      <c r="B10" s="136">
        <v>45387</v>
      </c>
      <c r="C10" s="196" t="s">
        <v>171</v>
      </c>
      <c r="D10" s="196"/>
      <c r="E10" s="196"/>
      <c r="F10" s="196"/>
      <c r="G10" s="196"/>
      <c r="H10" s="196"/>
      <c r="I10" s="196"/>
      <c r="J10" s="51"/>
      <c r="K10" s="21" t="s">
        <v>171</v>
      </c>
      <c r="L10" s="21" t="s">
        <v>171</v>
      </c>
      <c r="M10" s="21" t="s">
        <v>171</v>
      </c>
    </row>
    <row r="11" spans="1:13" x14ac:dyDescent="0.25">
      <c r="A11" s="157" t="s">
        <v>69</v>
      </c>
      <c r="B11" s="158">
        <v>45388</v>
      </c>
      <c r="C11" s="242"/>
      <c r="D11" s="242"/>
      <c r="E11" s="242"/>
      <c r="F11" s="242"/>
      <c r="G11" s="242"/>
      <c r="H11" s="242"/>
      <c r="I11" s="242"/>
      <c r="J11" s="160"/>
      <c r="K11" s="163"/>
      <c r="L11" s="163"/>
      <c r="M11" s="163"/>
    </row>
    <row r="12" spans="1:13" x14ac:dyDescent="0.25">
      <c r="A12" s="157" t="s">
        <v>30</v>
      </c>
      <c r="B12" s="158">
        <v>45389</v>
      </c>
      <c r="C12" s="242"/>
      <c r="D12" s="242"/>
      <c r="E12" s="242"/>
      <c r="F12" s="242"/>
      <c r="G12" s="242"/>
      <c r="H12" s="242"/>
      <c r="I12" s="242"/>
      <c r="J12" s="160"/>
      <c r="K12" s="163"/>
      <c r="L12" s="163"/>
      <c r="M12" s="163"/>
    </row>
    <row r="13" spans="1:13" x14ac:dyDescent="0.25">
      <c r="A13" s="135" t="s">
        <v>64</v>
      </c>
      <c r="B13" s="136">
        <v>45390</v>
      </c>
      <c r="C13" s="194" t="s">
        <v>703</v>
      </c>
      <c r="D13" s="194"/>
      <c r="E13" s="194"/>
      <c r="F13" s="194"/>
      <c r="G13" s="194"/>
      <c r="H13" s="194"/>
      <c r="I13" s="194"/>
      <c r="J13" s="135"/>
      <c r="K13" s="21">
        <v>65.333333333333329</v>
      </c>
      <c r="L13" s="21">
        <v>96.666666666666671</v>
      </c>
      <c r="M13" s="21">
        <f t="shared" ref="M13:M33" si="0">L13-K13</f>
        <v>31.333333333333343</v>
      </c>
    </row>
    <row r="14" spans="1:13" x14ac:dyDescent="0.25">
      <c r="A14" s="164" t="s">
        <v>65</v>
      </c>
      <c r="B14" s="165">
        <v>45391</v>
      </c>
      <c r="C14" s="244" t="s">
        <v>704</v>
      </c>
      <c r="D14" s="244"/>
      <c r="E14" s="244"/>
      <c r="F14" s="244"/>
      <c r="G14" s="244"/>
      <c r="H14" s="244"/>
      <c r="I14" s="244"/>
      <c r="J14" s="164"/>
      <c r="K14" s="166"/>
      <c r="L14" s="166"/>
      <c r="M14" s="166"/>
    </row>
    <row r="15" spans="1:13" x14ac:dyDescent="0.25">
      <c r="A15" s="135" t="s">
        <v>96</v>
      </c>
      <c r="B15" s="136">
        <v>45392</v>
      </c>
      <c r="C15" s="194" t="s">
        <v>705</v>
      </c>
      <c r="D15" s="194"/>
      <c r="E15" s="194"/>
      <c r="F15" s="194"/>
      <c r="G15" s="194"/>
      <c r="H15" s="194"/>
      <c r="I15" s="194"/>
      <c r="J15" s="135"/>
      <c r="K15" s="21">
        <v>65.333333333333329</v>
      </c>
      <c r="L15" s="21">
        <v>96.666666666666671</v>
      </c>
      <c r="M15" s="21">
        <f t="shared" si="0"/>
        <v>31.333333333333343</v>
      </c>
    </row>
    <row r="16" spans="1:13" x14ac:dyDescent="0.25">
      <c r="A16" s="135" t="s">
        <v>67</v>
      </c>
      <c r="B16" s="136">
        <v>45393</v>
      </c>
      <c r="C16" s="194" t="s">
        <v>706</v>
      </c>
      <c r="D16" s="194"/>
      <c r="E16" s="194"/>
      <c r="F16" s="194"/>
      <c r="G16" s="194"/>
      <c r="H16" s="194"/>
      <c r="I16" s="194"/>
      <c r="J16" s="51"/>
      <c r="K16" s="21">
        <v>65.333333333333329</v>
      </c>
      <c r="L16" s="21">
        <v>96.666666666666671</v>
      </c>
      <c r="M16" s="21">
        <f t="shared" si="0"/>
        <v>31.333333333333343</v>
      </c>
    </row>
    <row r="17" spans="1:13" x14ac:dyDescent="0.25">
      <c r="A17" s="135" t="s">
        <v>68</v>
      </c>
      <c r="B17" s="136">
        <v>45394</v>
      </c>
      <c r="C17" s="196" t="s">
        <v>171</v>
      </c>
      <c r="D17" s="196"/>
      <c r="E17" s="196"/>
      <c r="F17" s="196"/>
      <c r="G17" s="196"/>
      <c r="H17" s="196"/>
      <c r="I17" s="196"/>
      <c r="J17" s="51"/>
      <c r="K17" s="21" t="s">
        <v>171</v>
      </c>
      <c r="L17" s="21" t="s">
        <v>171</v>
      </c>
      <c r="M17" s="21" t="s">
        <v>171</v>
      </c>
    </row>
    <row r="18" spans="1:13" x14ac:dyDescent="0.25">
      <c r="A18" s="157" t="s">
        <v>69</v>
      </c>
      <c r="B18" s="158">
        <v>45395</v>
      </c>
      <c r="C18" s="241"/>
      <c r="D18" s="241"/>
      <c r="E18" s="241"/>
      <c r="F18" s="241"/>
      <c r="G18" s="241"/>
      <c r="H18" s="241"/>
      <c r="I18" s="241"/>
      <c r="J18" s="157"/>
      <c r="K18" s="159"/>
      <c r="L18" s="159"/>
      <c r="M18" s="159"/>
    </row>
    <row r="19" spans="1:13" x14ac:dyDescent="0.25">
      <c r="A19" s="157" t="s">
        <v>30</v>
      </c>
      <c r="B19" s="158">
        <v>45396</v>
      </c>
      <c r="C19" s="242"/>
      <c r="D19" s="242"/>
      <c r="E19" s="242"/>
      <c r="F19" s="242"/>
      <c r="G19" s="242"/>
      <c r="H19" s="242"/>
      <c r="I19" s="242"/>
      <c r="J19" s="157"/>
      <c r="K19" s="159"/>
      <c r="L19" s="159"/>
      <c r="M19" s="159"/>
    </row>
    <row r="20" spans="1:13" x14ac:dyDescent="0.25">
      <c r="A20" s="135" t="s">
        <v>64</v>
      </c>
      <c r="B20" s="136">
        <v>45397</v>
      </c>
      <c r="C20" s="196" t="s">
        <v>708</v>
      </c>
      <c r="D20" s="196"/>
      <c r="E20" s="196"/>
      <c r="F20" s="196"/>
      <c r="G20" s="196"/>
      <c r="H20" s="196"/>
      <c r="I20" s="196"/>
      <c r="J20" s="135"/>
      <c r="K20" s="21">
        <v>65.354166666666671</v>
      </c>
      <c r="L20" s="21">
        <v>96.666666666666671</v>
      </c>
      <c r="M20" s="21">
        <f t="shared" ref="M20:M23" si="1">L20-K20</f>
        <v>31.3125</v>
      </c>
    </row>
    <row r="21" spans="1:13" x14ac:dyDescent="0.25">
      <c r="A21" s="135" t="s">
        <v>65</v>
      </c>
      <c r="B21" s="136">
        <v>45398</v>
      </c>
      <c r="C21" s="196" t="s">
        <v>709</v>
      </c>
      <c r="D21" s="196"/>
      <c r="E21" s="196"/>
      <c r="F21" s="196"/>
      <c r="G21" s="196"/>
      <c r="H21" s="196"/>
      <c r="I21" s="196"/>
      <c r="J21" s="135"/>
      <c r="K21" s="21">
        <v>65.333333333333329</v>
      </c>
      <c r="L21" s="21">
        <v>96.677083333333329</v>
      </c>
      <c r="M21" s="21">
        <f t="shared" si="1"/>
        <v>31.34375</v>
      </c>
    </row>
    <row r="22" spans="1:13" x14ac:dyDescent="0.25">
      <c r="A22" s="135" t="s">
        <v>96</v>
      </c>
      <c r="B22" s="136">
        <v>45399</v>
      </c>
      <c r="C22" s="194" t="s">
        <v>711</v>
      </c>
      <c r="D22" s="194"/>
      <c r="E22" s="194"/>
      <c r="F22" s="194"/>
      <c r="G22" s="194"/>
      <c r="H22" s="194"/>
      <c r="I22" s="194"/>
      <c r="J22" s="135"/>
      <c r="K22" s="21">
        <v>65.340277777777771</v>
      </c>
      <c r="L22" s="21">
        <v>96.677083333333329</v>
      </c>
      <c r="M22" s="21">
        <f t="shared" si="1"/>
        <v>31.336805555555557</v>
      </c>
    </row>
    <row r="23" spans="1:13" x14ac:dyDescent="0.25">
      <c r="A23" s="135" t="s">
        <v>67</v>
      </c>
      <c r="B23" s="136">
        <v>45400</v>
      </c>
      <c r="C23" s="194" t="s">
        <v>710</v>
      </c>
      <c r="D23" s="194"/>
      <c r="E23" s="194"/>
      <c r="F23" s="194"/>
      <c r="G23" s="194"/>
      <c r="H23" s="194"/>
      <c r="I23" s="194"/>
      <c r="J23" s="146"/>
      <c r="K23" s="21">
        <v>65.305555555555557</v>
      </c>
      <c r="L23" s="21">
        <v>96.645833333333329</v>
      </c>
      <c r="M23" s="21">
        <f t="shared" si="1"/>
        <v>31.340277777777771</v>
      </c>
    </row>
    <row r="24" spans="1:13" x14ac:dyDescent="0.25">
      <c r="A24" s="135" t="s">
        <v>68</v>
      </c>
      <c r="B24" s="136">
        <v>45401</v>
      </c>
      <c r="C24" s="195" t="s">
        <v>269</v>
      </c>
      <c r="D24" s="195"/>
      <c r="E24" s="195"/>
      <c r="F24" s="195"/>
      <c r="G24" s="195"/>
      <c r="H24" s="195"/>
      <c r="I24" s="195"/>
      <c r="J24" s="146"/>
      <c r="K24" s="21" t="s">
        <v>171</v>
      </c>
      <c r="L24" s="21" t="s">
        <v>171</v>
      </c>
      <c r="M24" s="21" t="s">
        <v>171</v>
      </c>
    </row>
    <row r="25" spans="1:13" x14ac:dyDescent="0.25">
      <c r="A25" s="157" t="s">
        <v>69</v>
      </c>
      <c r="B25" s="158">
        <v>45402</v>
      </c>
      <c r="C25" s="243"/>
      <c r="D25" s="243"/>
      <c r="E25" s="243"/>
      <c r="F25" s="243"/>
      <c r="G25" s="243"/>
      <c r="H25" s="243"/>
      <c r="I25" s="243"/>
      <c r="J25" s="161"/>
      <c r="K25" s="159"/>
      <c r="L25" s="159"/>
      <c r="M25" s="159"/>
    </row>
    <row r="26" spans="1:13" customFormat="1" x14ac:dyDescent="0.25">
      <c r="A26" s="157" t="s">
        <v>30</v>
      </c>
      <c r="B26" s="158">
        <v>45403</v>
      </c>
      <c r="C26" s="243"/>
      <c r="D26" s="243"/>
      <c r="E26" s="243"/>
      <c r="F26" s="243"/>
      <c r="G26" s="243"/>
      <c r="H26" s="243"/>
      <c r="I26" s="243"/>
      <c r="J26" s="162"/>
      <c r="K26" s="159"/>
      <c r="L26" s="159"/>
      <c r="M26" s="159"/>
    </row>
    <row r="27" spans="1:13" x14ac:dyDescent="0.25">
      <c r="A27" s="135" t="s">
        <v>64</v>
      </c>
      <c r="B27" s="136">
        <v>45404</v>
      </c>
      <c r="C27" s="195" t="s">
        <v>269</v>
      </c>
      <c r="D27" s="195"/>
      <c r="E27" s="195"/>
      <c r="F27" s="195"/>
      <c r="G27" s="195"/>
      <c r="H27" s="195"/>
      <c r="I27" s="195"/>
      <c r="J27" s="135"/>
      <c r="K27" s="21" t="s">
        <v>171</v>
      </c>
      <c r="L27" s="21" t="s">
        <v>171</v>
      </c>
      <c r="M27" s="21" t="s">
        <v>171</v>
      </c>
    </row>
    <row r="28" spans="1:13" x14ac:dyDescent="0.25">
      <c r="A28" s="135" t="s">
        <v>65</v>
      </c>
      <c r="B28" s="136">
        <v>45405</v>
      </c>
      <c r="C28" s="194" t="s">
        <v>712</v>
      </c>
      <c r="D28" s="194"/>
      <c r="E28" s="194"/>
      <c r="F28" s="194"/>
      <c r="G28" s="194"/>
      <c r="H28" s="194"/>
      <c r="I28" s="194"/>
      <c r="J28" s="135"/>
      <c r="K28" s="21">
        <v>65.333333333333329</v>
      </c>
      <c r="L28" s="21">
        <v>96.677083333333329</v>
      </c>
      <c r="M28" s="21">
        <f t="shared" ref="M28:M30" si="2">L28-K28</f>
        <v>31.34375</v>
      </c>
    </row>
    <row r="29" spans="1:13" x14ac:dyDescent="0.25">
      <c r="A29" s="135" t="s">
        <v>96</v>
      </c>
      <c r="B29" s="136">
        <v>45406</v>
      </c>
      <c r="C29" s="194" t="s">
        <v>714</v>
      </c>
      <c r="D29" s="194"/>
      <c r="E29" s="194"/>
      <c r="F29" s="194"/>
      <c r="G29" s="194"/>
      <c r="H29" s="194"/>
      <c r="I29" s="194"/>
      <c r="J29" s="135"/>
      <c r="K29" s="21">
        <v>65.333333333333329</v>
      </c>
      <c r="L29" s="21">
        <v>96.666666666666671</v>
      </c>
      <c r="M29" s="21">
        <f t="shared" si="2"/>
        <v>31.333333333333343</v>
      </c>
    </row>
    <row r="30" spans="1:13" x14ac:dyDescent="0.25">
      <c r="A30" s="135" t="s">
        <v>67</v>
      </c>
      <c r="B30" s="136">
        <v>45407</v>
      </c>
      <c r="C30" s="196" t="s">
        <v>713</v>
      </c>
      <c r="D30" s="196"/>
      <c r="E30" s="196"/>
      <c r="F30" s="196"/>
      <c r="G30" s="196"/>
      <c r="H30" s="196"/>
      <c r="I30" s="196"/>
      <c r="J30" s="135"/>
      <c r="K30" s="21">
        <v>65.329861111111114</v>
      </c>
      <c r="L30" s="21">
        <v>96.666666666666671</v>
      </c>
      <c r="M30" s="21">
        <f t="shared" si="2"/>
        <v>31.336805555555557</v>
      </c>
    </row>
    <row r="31" spans="1:13" x14ac:dyDescent="0.25">
      <c r="A31" s="135" t="s">
        <v>68</v>
      </c>
      <c r="B31" s="136">
        <v>45408</v>
      </c>
      <c r="C31" s="236" t="s">
        <v>171</v>
      </c>
      <c r="D31" s="237"/>
      <c r="E31" s="237"/>
      <c r="F31" s="237"/>
      <c r="G31" s="237"/>
      <c r="H31" s="237"/>
      <c r="I31" s="238"/>
      <c r="J31" s="135"/>
      <c r="K31" s="21" t="s">
        <v>171</v>
      </c>
      <c r="L31" s="21" t="s">
        <v>171</v>
      </c>
      <c r="M31" s="21" t="s">
        <v>171</v>
      </c>
    </row>
    <row r="32" spans="1:13" x14ac:dyDescent="0.25">
      <c r="A32" s="157" t="s">
        <v>69</v>
      </c>
      <c r="B32" s="158">
        <v>45409</v>
      </c>
      <c r="C32" s="239"/>
      <c r="D32" s="240"/>
      <c r="E32" s="240"/>
      <c r="F32" s="240"/>
      <c r="G32" s="240"/>
      <c r="H32" s="240"/>
      <c r="I32" s="240"/>
      <c r="J32" s="157"/>
      <c r="K32" s="159">
        <v>65.329861111111114</v>
      </c>
      <c r="L32" s="159">
        <v>96.666666666666671</v>
      </c>
      <c r="M32" s="159">
        <f t="shared" si="0"/>
        <v>31.336805555555557</v>
      </c>
    </row>
    <row r="33" spans="1:13" x14ac:dyDescent="0.25">
      <c r="A33" s="157" t="s">
        <v>30</v>
      </c>
      <c r="B33" s="158">
        <v>45410</v>
      </c>
      <c r="C33" s="239"/>
      <c r="D33" s="240"/>
      <c r="E33" s="240"/>
      <c r="F33" s="240"/>
      <c r="G33" s="240"/>
      <c r="H33" s="240"/>
      <c r="I33" s="240"/>
      <c r="J33" s="157"/>
      <c r="K33" s="159">
        <v>65.329861111111114</v>
      </c>
      <c r="L33" s="159">
        <v>96.666666666666671</v>
      </c>
      <c r="M33" s="159">
        <f t="shared" si="0"/>
        <v>31.336805555555557</v>
      </c>
    </row>
    <row r="34" spans="1:13" x14ac:dyDescent="0.25">
      <c r="A34" s="135" t="s">
        <v>64</v>
      </c>
      <c r="B34" s="136">
        <v>45411</v>
      </c>
      <c r="C34" s="236" t="s">
        <v>171</v>
      </c>
      <c r="D34" s="237"/>
      <c r="E34" s="237"/>
      <c r="F34" s="237"/>
      <c r="G34" s="237"/>
      <c r="H34" s="237"/>
      <c r="I34" s="238"/>
      <c r="J34" s="135"/>
      <c r="K34" s="21" t="s">
        <v>171</v>
      </c>
      <c r="L34" s="21" t="s">
        <v>171</v>
      </c>
      <c r="M34" s="21" t="s">
        <v>171</v>
      </c>
    </row>
    <row r="35" spans="1:13" x14ac:dyDescent="0.25">
      <c r="A35" s="135" t="s">
        <v>65</v>
      </c>
      <c r="B35" s="136">
        <v>45412</v>
      </c>
      <c r="C35" s="195" t="s">
        <v>715</v>
      </c>
      <c r="D35" s="195"/>
      <c r="E35" s="195"/>
      <c r="F35" s="195"/>
      <c r="G35" s="195"/>
      <c r="H35" s="195"/>
      <c r="I35" s="195"/>
      <c r="J35" s="135"/>
      <c r="K35" s="21">
        <v>65.340277777777771</v>
      </c>
      <c r="L35" s="21">
        <v>96.666666666666671</v>
      </c>
      <c r="M35" s="21">
        <f t="shared" ref="M35" si="3">L35-K35</f>
        <v>31.3263888888889</v>
      </c>
    </row>
    <row r="1048572" spans="11:12" x14ac:dyDescent="0.25">
      <c r="K1048572" s="21"/>
      <c r="L1048572" s="21"/>
    </row>
  </sheetData>
  <mergeCells count="37">
    <mergeCell ref="C11:I11"/>
    <mergeCell ref="A1:A5"/>
    <mergeCell ref="B1:M1"/>
    <mergeCell ref="C2:E2"/>
    <mergeCell ref="G2:M2"/>
    <mergeCell ref="C3:E3"/>
    <mergeCell ref="G3:M3"/>
    <mergeCell ref="C5:J5"/>
    <mergeCell ref="C6:I6"/>
    <mergeCell ref="C7:I7"/>
    <mergeCell ref="C8:I8"/>
    <mergeCell ref="C9:I9"/>
    <mergeCell ref="C10:I10"/>
    <mergeCell ref="C12:I12"/>
    <mergeCell ref="C13:I13"/>
    <mergeCell ref="C14:I14"/>
    <mergeCell ref="C15:I15"/>
    <mergeCell ref="C16:I16"/>
    <mergeCell ref="C28:I28"/>
    <mergeCell ref="C17:I17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35:I35"/>
    <mergeCell ref="C29:I29"/>
    <mergeCell ref="C30:I30"/>
    <mergeCell ref="C31:I31"/>
    <mergeCell ref="C32:I32"/>
    <mergeCell ref="C33:I33"/>
    <mergeCell ref="C34:I3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4644-C91F-4E7A-9B3F-C510C41A2FFA}">
  <dimension ref="A1:M1048573"/>
  <sheetViews>
    <sheetView topLeftCell="A6" zoomScaleNormal="100" workbookViewId="0">
      <selection activeCell="C22" sqref="C22:I22"/>
    </sheetView>
  </sheetViews>
  <sheetFormatPr defaultColWidth="9.140625" defaultRowHeight="15" x14ac:dyDescent="0.25"/>
  <cols>
    <col min="1" max="1" width="11.42578125" style="125" bestFit="1" customWidth="1"/>
    <col min="2" max="2" width="15.7109375" style="125" bestFit="1" customWidth="1"/>
    <col min="3" max="4" width="9.140625" style="125"/>
    <col min="5" max="5" width="23.85546875" style="125" customWidth="1"/>
    <col min="6" max="6" width="54.140625" style="125" customWidth="1"/>
    <col min="7" max="8" width="9.140625" style="125"/>
    <col min="9" max="9" width="38" style="125" customWidth="1"/>
    <col min="10" max="10" width="9.140625" style="125"/>
    <col min="11" max="11" width="11.5703125" style="142" bestFit="1" customWidth="1"/>
    <col min="12" max="12" width="9.140625" style="141"/>
    <col min="13" max="13" width="10.28515625" style="125" bestFit="1" customWidth="1"/>
    <col min="14" max="16384" width="9.140625" style="125"/>
  </cols>
  <sheetData>
    <row r="1" spans="1:13" ht="18.75" x14ac:dyDescent="0.3">
      <c r="A1" s="195"/>
      <c r="B1" s="215" t="s">
        <v>0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</row>
    <row r="2" spans="1:13" x14ac:dyDescent="0.25">
      <c r="A2" s="195"/>
      <c r="B2" s="126" t="s">
        <v>1</v>
      </c>
      <c r="C2" s="200" t="s">
        <v>34</v>
      </c>
      <c r="D2" s="200"/>
      <c r="E2" s="200"/>
      <c r="F2" s="126" t="s">
        <v>8</v>
      </c>
      <c r="G2" s="200" t="s">
        <v>682</v>
      </c>
      <c r="H2" s="200"/>
      <c r="I2" s="200"/>
      <c r="J2" s="200"/>
      <c r="K2" s="200"/>
      <c r="L2" s="200"/>
      <c r="M2" s="200"/>
    </row>
    <row r="3" spans="1:13" x14ac:dyDescent="0.25">
      <c r="A3" s="195"/>
      <c r="B3" s="126" t="s">
        <v>2</v>
      </c>
      <c r="C3" s="200" t="s">
        <v>36</v>
      </c>
      <c r="D3" s="200"/>
      <c r="E3" s="200"/>
      <c r="F3" s="126" t="s">
        <v>3</v>
      </c>
      <c r="G3" s="200" t="s">
        <v>13</v>
      </c>
      <c r="H3" s="200"/>
      <c r="I3" s="200"/>
      <c r="J3" s="200"/>
      <c r="K3" s="200"/>
      <c r="L3" s="200"/>
      <c r="M3" s="200"/>
    </row>
    <row r="4" spans="1:13" x14ac:dyDescent="0.25">
      <c r="A4" s="195"/>
      <c r="B4" s="127"/>
      <c r="C4" s="127"/>
      <c r="D4" s="127"/>
      <c r="E4" s="127"/>
      <c r="F4" s="127"/>
      <c r="G4" s="127"/>
      <c r="H4" s="127"/>
      <c r="I4" s="127"/>
      <c r="J4" s="127"/>
      <c r="K4" s="128"/>
      <c r="L4" s="129"/>
      <c r="M4" s="129"/>
    </row>
    <row r="5" spans="1:13" x14ac:dyDescent="0.25">
      <c r="A5" s="195"/>
      <c r="B5" s="130" t="s">
        <v>7</v>
      </c>
      <c r="C5" s="197" t="s">
        <v>4</v>
      </c>
      <c r="D5" s="197"/>
      <c r="E5" s="197"/>
      <c r="F5" s="197"/>
      <c r="G5" s="197"/>
      <c r="H5" s="197"/>
      <c r="I5" s="197"/>
      <c r="J5" s="197"/>
      <c r="K5" s="131" t="s">
        <v>5</v>
      </c>
      <c r="L5" s="132" t="s">
        <v>6</v>
      </c>
      <c r="M5" s="130" t="s">
        <v>491</v>
      </c>
    </row>
    <row r="6" spans="1:13" ht="15" customHeight="1" x14ac:dyDescent="0.25">
      <c r="A6" s="135" t="s">
        <v>68</v>
      </c>
      <c r="B6" s="136">
        <v>45352</v>
      </c>
      <c r="C6" s="196" t="s">
        <v>681</v>
      </c>
      <c r="D6" s="196"/>
      <c r="E6" s="196"/>
      <c r="F6" s="196"/>
      <c r="G6" s="196"/>
      <c r="H6" s="196"/>
      <c r="I6" s="196"/>
      <c r="J6" s="135"/>
      <c r="K6" s="21"/>
      <c r="L6" s="21"/>
      <c r="M6" s="21"/>
    </row>
    <row r="7" spans="1:13" x14ac:dyDescent="0.25">
      <c r="A7" s="157" t="s">
        <v>69</v>
      </c>
      <c r="B7" s="158">
        <v>45353</v>
      </c>
      <c r="C7" s="246"/>
      <c r="D7" s="246"/>
      <c r="E7" s="246"/>
      <c r="F7" s="246"/>
      <c r="G7" s="246"/>
      <c r="H7" s="246"/>
      <c r="I7" s="246"/>
      <c r="J7" s="157"/>
      <c r="K7" s="159"/>
      <c r="L7" s="159"/>
      <c r="M7" s="159"/>
    </row>
    <row r="8" spans="1:13" x14ac:dyDescent="0.25">
      <c r="A8" s="157" t="s">
        <v>30</v>
      </c>
      <c r="B8" s="158">
        <v>45354</v>
      </c>
      <c r="C8" s="246"/>
      <c r="D8" s="246"/>
      <c r="E8" s="246"/>
      <c r="F8" s="246"/>
      <c r="G8" s="246"/>
      <c r="H8" s="246"/>
      <c r="I8" s="246"/>
      <c r="J8" s="157"/>
      <c r="K8" s="159"/>
      <c r="L8" s="159"/>
      <c r="M8" s="159"/>
    </row>
    <row r="9" spans="1:13" x14ac:dyDescent="0.25">
      <c r="A9" s="135" t="s">
        <v>64</v>
      </c>
      <c r="B9" s="136">
        <v>45355</v>
      </c>
      <c r="C9" s="194" t="s">
        <v>683</v>
      </c>
      <c r="D9" s="194"/>
      <c r="E9" s="194"/>
      <c r="F9" s="194"/>
      <c r="G9" s="194"/>
      <c r="H9" s="194"/>
      <c r="I9" s="194"/>
      <c r="J9" s="51"/>
      <c r="K9" s="21">
        <v>65.364583333333329</v>
      </c>
      <c r="L9" s="21">
        <v>65.739583333333329</v>
      </c>
      <c r="M9" s="21">
        <f t="shared" ref="M9" si="0">L9-K9</f>
        <v>0.375</v>
      </c>
    </row>
    <row r="10" spans="1:13" x14ac:dyDescent="0.25">
      <c r="A10" s="135" t="s">
        <v>65</v>
      </c>
      <c r="B10" s="136">
        <v>45356</v>
      </c>
      <c r="C10" s="196" t="s">
        <v>695</v>
      </c>
      <c r="D10" s="196"/>
      <c r="E10" s="196"/>
      <c r="F10" s="196"/>
      <c r="G10" s="196"/>
      <c r="H10" s="196"/>
      <c r="I10" s="196"/>
      <c r="J10" s="51"/>
      <c r="K10" s="21">
        <v>65.354166666666671</v>
      </c>
      <c r="L10" s="21">
        <v>65.722222222222229</v>
      </c>
      <c r="M10" s="21">
        <f t="shared" ref="M10:M33" si="1">L10-K10</f>
        <v>0.36805555555555713</v>
      </c>
    </row>
    <row r="11" spans="1:13" x14ac:dyDescent="0.25">
      <c r="A11" s="135" t="s">
        <v>96</v>
      </c>
      <c r="B11" s="136">
        <v>45357</v>
      </c>
      <c r="C11" s="196" t="s">
        <v>684</v>
      </c>
      <c r="D11" s="196"/>
      <c r="E11" s="196"/>
      <c r="F11" s="196"/>
      <c r="G11" s="196"/>
      <c r="H11" s="196"/>
      <c r="I11" s="196"/>
      <c r="J11" s="51"/>
      <c r="K11" s="247" t="s">
        <v>171</v>
      </c>
      <c r="L11" s="248"/>
      <c r="M11" s="249"/>
    </row>
    <row r="12" spans="1:13" x14ac:dyDescent="0.25">
      <c r="A12" s="135" t="s">
        <v>67</v>
      </c>
      <c r="B12" s="136">
        <v>45358</v>
      </c>
      <c r="C12" s="196" t="s">
        <v>685</v>
      </c>
      <c r="D12" s="196"/>
      <c r="E12" s="196"/>
      <c r="F12" s="196"/>
      <c r="G12" s="196"/>
      <c r="H12" s="196"/>
      <c r="I12" s="196"/>
      <c r="J12" s="51"/>
      <c r="K12" s="250"/>
      <c r="L12" s="251"/>
      <c r="M12" s="252"/>
    </row>
    <row r="13" spans="1:13" x14ac:dyDescent="0.25">
      <c r="A13" s="135" t="s">
        <v>68</v>
      </c>
      <c r="B13" s="136">
        <v>45359</v>
      </c>
      <c r="C13" s="194" t="s">
        <v>686</v>
      </c>
      <c r="D13" s="194"/>
      <c r="E13" s="194"/>
      <c r="F13" s="194"/>
      <c r="G13" s="194"/>
      <c r="H13" s="194"/>
      <c r="I13" s="194"/>
      <c r="J13" s="135"/>
      <c r="K13" s="253"/>
      <c r="L13" s="254"/>
      <c r="M13" s="255"/>
    </row>
    <row r="14" spans="1:13" x14ac:dyDescent="0.25">
      <c r="A14" s="157" t="s">
        <v>69</v>
      </c>
      <c r="B14" s="158">
        <v>45360</v>
      </c>
      <c r="C14" s="246"/>
      <c r="D14" s="246"/>
      <c r="E14" s="246"/>
      <c r="F14" s="246"/>
      <c r="G14" s="246"/>
      <c r="H14" s="246"/>
      <c r="I14" s="246"/>
      <c r="J14" s="157"/>
      <c r="K14" s="159"/>
      <c r="L14" s="159"/>
      <c r="M14" s="159"/>
    </row>
    <row r="15" spans="1:13" x14ac:dyDescent="0.25">
      <c r="A15" s="157" t="s">
        <v>30</v>
      </c>
      <c r="B15" s="158">
        <v>45361</v>
      </c>
      <c r="C15" s="246"/>
      <c r="D15" s="246"/>
      <c r="E15" s="246"/>
      <c r="F15" s="246"/>
      <c r="G15" s="246"/>
      <c r="H15" s="246"/>
      <c r="I15" s="246"/>
      <c r="J15" s="157"/>
      <c r="K15" s="159"/>
      <c r="L15" s="159"/>
      <c r="M15" s="159"/>
    </row>
    <row r="16" spans="1:13" x14ac:dyDescent="0.25">
      <c r="A16" s="135" t="s">
        <v>64</v>
      </c>
      <c r="B16" s="136">
        <v>45362</v>
      </c>
      <c r="C16" s="194" t="s">
        <v>687</v>
      </c>
      <c r="D16" s="194"/>
      <c r="E16" s="194"/>
      <c r="F16" s="194"/>
      <c r="G16" s="194"/>
      <c r="H16" s="194"/>
      <c r="I16" s="194"/>
      <c r="J16" s="51"/>
      <c r="K16" s="21">
        <v>65.347222222222229</v>
      </c>
      <c r="L16" s="21">
        <v>65.71875</v>
      </c>
      <c r="M16" s="21">
        <f t="shared" si="1"/>
        <v>0.37152777777777146</v>
      </c>
    </row>
    <row r="17" spans="1:13" x14ac:dyDescent="0.25">
      <c r="A17" s="135" t="s">
        <v>65</v>
      </c>
      <c r="B17" s="136">
        <v>45363</v>
      </c>
      <c r="C17" s="196" t="s">
        <v>707</v>
      </c>
      <c r="D17" s="196"/>
      <c r="E17" s="196"/>
      <c r="F17" s="196"/>
      <c r="G17" s="196"/>
      <c r="H17" s="196"/>
      <c r="I17" s="196"/>
      <c r="J17" s="51"/>
      <c r="K17" s="21">
        <v>65.341666666666669</v>
      </c>
      <c r="L17" s="21">
        <v>65.71875</v>
      </c>
      <c r="M17" s="21">
        <f t="shared" si="1"/>
        <v>0.37708333333333144</v>
      </c>
    </row>
    <row r="18" spans="1:13" x14ac:dyDescent="0.25">
      <c r="A18" s="135" t="s">
        <v>96</v>
      </c>
      <c r="B18" s="136">
        <v>45364</v>
      </c>
      <c r="C18" s="259" t="s">
        <v>690</v>
      </c>
      <c r="D18" s="259"/>
      <c r="E18" s="259"/>
      <c r="F18" s="259"/>
      <c r="G18" s="259"/>
      <c r="H18" s="259"/>
      <c r="I18" s="259"/>
      <c r="J18" s="135"/>
      <c r="K18" s="21" t="s">
        <v>692</v>
      </c>
      <c r="L18" s="21" t="s">
        <v>693</v>
      </c>
      <c r="M18" s="21" t="s">
        <v>694</v>
      </c>
    </row>
    <row r="19" spans="1:13" x14ac:dyDescent="0.25">
      <c r="A19" s="135" t="s">
        <v>67</v>
      </c>
      <c r="B19" s="136">
        <v>45365</v>
      </c>
      <c r="C19" s="196" t="s">
        <v>691</v>
      </c>
      <c r="D19" s="196"/>
      <c r="E19" s="196"/>
      <c r="F19" s="196"/>
      <c r="G19" s="196"/>
      <c r="H19" s="196"/>
      <c r="I19" s="196"/>
      <c r="J19" s="135"/>
      <c r="K19" s="21">
        <v>65.343055555555551</v>
      </c>
      <c r="L19" s="21">
        <v>65.65625</v>
      </c>
      <c r="M19" s="21">
        <f t="shared" ref="M19:M20" si="2">L19-K19</f>
        <v>0.31319444444444855</v>
      </c>
    </row>
    <row r="20" spans="1:13" x14ac:dyDescent="0.25">
      <c r="A20" s="135" t="s">
        <v>68</v>
      </c>
      <c r="B20" s="136">
        <v>45366</v>
      </c>
      <c r="C20" s="196" t="s">
        <v>689</v>
      </c>
      <c r="D20" s="196"/>
      <c r="E20" s="196"/>
      <c r="F20" s="196"/>
      <c r="G20" s="196"/>
      <c r="H20" s="196"/>
      <c r="I20" s="196"/>
      <c r="J20" s="135"/>
      <c r="K20" s="21">
        <v>65.340277777777771</v>
      </c>
      <c r="L20" s="21">
        <v>65.708333333333329</v>
      </c>
      <c r="M20" s="21">
        <f t="shared" si="2"/>
        <v>0.36805555555555713</v>
      </c>
    </row>
    <row r="21" spans="1:13" x14ac:dyDescent="0.25">
      <c r="A21" s="157" t="s">
        <v>69</v>
      </c>
      <c r="B21" s="158">
        <v>45367</v>
      </c>
      <c r="C21" s="242"/>
      <c r="D21" s="242"/>
      <c r="E21" s="242"/>
      <c r="F21" s="242"/>
      <c r="G21" s="242"/>
      <c r="H21" s="242"/>
      <c r="I21" s="242"/>
      <c r="J21" s="157"/>
      <c r="K21" s="159"/>
      <c r="L21" s="159"/>
      <c r="M21" s="159"/>
    </row>
    <row r="22" spans="1:13" x14ac:dyDescent="0.25">
      <c r="A22" s="157" t="s">
        <v>30</v>
      </c>
      <c r="B22" s="158">
        <v>45368</v>
      </c>
      <c r="C22" s="246"/>
      <c r="D22" s="246"/>
      <c r="E22" s="246"/>
      <c r="F22" s="246"/>
      <c r="G22" s="246"/>
      <c r="H22" s="246"/>
      <c r="I22" s="246"/>
      <c r="J22" s="157"/>
      <c r="K22" s="159"/>
      <c r="L22" s="159"/>
      <c r="M22" s="159"/>
    </row>
    <row r="23" spans="1:13" x14ac:dyDescent="0.25">
      <c r="A23" s="135" t="s">
        <v>64</v>
      </c>
      <c r="B23" s="136">
        <v>45369</v>
      </c>
      <c r="C23" s="194" t="s">
        <v>688</v>
      </c>
      <c r="D23" s="194"/>
      <c r="E23" s="194"/>
      <c r="F23" s="194"/>
      <c r="G23" s="194"/>
      <c r="H23" s="194"/>
      <c r="I23" s="194"/>
      <c r="J23" s="146"/>
      <c r="K23" s="21">
        <v>65.305555555555557</v>
      </c>
      <c r="L23" s="21">
        <v>96.645833333333329</v>
      </c>
      <c r="M23" s="21">
        <f t="shared" si="1"/>
        <v>31.340277777777771</v>
      </c>
    </row>
    <row r="24" spans="1:13" x14ac:dyDescent="0.25">
      <c r="A24" s="135" t="s">
        <v>65</v>
      </c>
      <c r="B24" s="136">
        <v>45370</v>
      </c>
      <c r="C24" s="194" t="s">
        <v>696</v>
      </c>
      <c r="D24" s="194"/>
      <c r="E24" s="194"/>
      <c r="F24" s="194"/>
      <c r="G24" s="194"/>
      <c r="H24" s="194"/>
      <c r="I24" s="194"/>
      <c r="J24" s="146"/>
      <c r="K24" s="21">
        <v>65.331249999999997</v>
      </c>
      <c r="L24" s="21">
        <v>96.666666666666671</v>
      </c>
      <c r="M24" s="21">
        <f t="shared" si="1"/>
        <v>31.335416666666674</v>
      </c>
    </row>
    <row r="25" spans="1:13" x14ac:dyDescent="0.25">
      <c r="A25" s="135" t="s">
        <v>96</v>
      </c>
      <c r="B25" s="136">
        <v>45371</v>
      </c>
      <c r="C25" s="195" t="s">
        <v>697</v>
      </c>
      <c r="D25" s="195"/>
      <c r="E25" s="195"/>
      <c r="F25" s="195"/>
      <c r="G25" s="195"/>
      <c r="H25" s="195"/>
      <c r="I25" s="195"/>
      <c r="J25" s="146"/>
      <c r="K25" s="21">
        <v>65.333333333333329</v>
      </c>
      <c r="L25" s="21">
        <v>96.666666666666671</v>
      </c>
      <c r="M25" s="21">
        <f t="shared" si="1"/>
        <v>31.333333333333343</v>
      </c>
    </row>
    <row r="26" spans="1:13" customFormat="1" x14ac:dyDescent="0.25">
      <c r="A26" s="135" t="s">
        <v>67</v>
      </c>
      <c r="B26" s="136">
        <v>45372</v>
      </c>
      <c r="C26" s="195" t="s">
        <v>698</v>
      </c>
      <c r="D26" s="195"/>
      <c r="E26" s="195"/>
      <c r="F26" s="195"/>
      <c r="G26" s="195"/>
      <c r="H26" s="195"/>
      <c r="I26" s="195"/>
      <c r="J26" s="37"/>
      <c r="K26" s="21">
        <v>65.333333333333329</v>
      </c>
      <c r="L26" s="21">
        <v>96.666666666666671</v>
      </c>
      <c r="M26" s="21">
        <f t="shared" si="1"/>
        <v>31.333333333333343</v>
      </c>
    </row>
    <row r="27" spans="1:13" x14ac:dyDescent="0.25">
      <c r="A27" s="135" t="s">
        <v>68</v>
      </c>
      <c r="B27" s="136">
        <v>45373</v>
      </c>
      <c r="C27" s="195" t="s">
        <v>699</v>
      </c>
      <c r="D27" s="195"/>
      <c r="E27" s="195"/>
      <c r="F27" s="195"/>
      <c r="G27" s="195"/>
      <c r="H27" s="195"/>
      <c r="I27" s="195"/>
      <c r="J27" s="135"/>
      <c r="K27" s="21" t="s">
        <v>692</v>
      </c>
      <c r="L27" s="21" t="s">
        <v>693</v>
      </c>
      <c r="M27" s="21" t="s">
        <v>694</v>
      </c>
    </row>
    <row r="28" spans="1:13" x14ac:dyDescent="0.25">
      <c r="A28" s="157" t="s">
        <v>69</v>
      </c>
      <c r="B28" s="158">
        <v>45374</v>
      </c>
      <c r="C28" s="246"/>
      <c r="D28" s="246"/>
      <c r="E28" s="246"/>
      <c r="F28" s="246"/>
      <c r="G28" s="246"/>
      <c r="H28" s="246"/>
      <c r="I28" s="246"/>
      <c r="J28" s="157"/>
      <c r="K28" s="159"/>
      <c r="L28" s="159"/>
      <c r="M28" s="159"/>
    </row>
    <row r="29" spans="1:13" x14ac:dyDescent="0.25">
      <c r="A29" s="157" t="s">
        <v>30</v>
      </c>
      <c r="B29" s="158">
        <v>45375</v>
      </c>
      <c r="C29" s="246"/>
      <c r="D29" s="246"/>
      <c r="E29" s="246"/>
      <c r="F29" s="246"/>
      <c r="G29" s="246"/>
      <c r="H29" s="246"/>
      <c r="I29" s="246"/>
      <c r="J29" s="157"/>
      <c r="K29" s="159"/>
      <c r="L29" s="159"/>
      <c r="M29" s="159"/>
    </row>
    <row r="30" spans="1:13" x14ac:dyDescent="0.25">
      <c r="A30" s="135" t="s">
        <v>64</v>
      </c>
      <c r="B30" s="136">
        <v>45376</v>
      </c>
      <c r="C30" s="196" t="s">
        <v>681</v>
      </c>
      <c r="D30" s="196"/>
      <c r="E30" s="196"/>
      <c r="F30" s="196"/>
      <c r="G30" s="196"/>
      <c r="H30" s="196"/>
      <c r="I30" s="196"/>
      <c r="J30" s="135"/>
      <c r="K30" s="21" t="s">
        <v>692</v>
      </c>
      <c r="L30" s="21" t="s">
        <v>693</v>
      </c>
      <c r="M30" s="21" t="s">
        <v>694</v>
      </c>
    </row>
    <row r="31" spans="1:13" x14ac:dyDescent="0.25">
      <c r="A31" s="135" t="s">
        <v>65</v>
      </c>
      <c r="B31" s="136">
        <v>45377</v>
      </c>
      <c r="C31" s="196" t="s">
        <v>700</v>
      </c>
      <c r="D31" s="196"/>
      <c r="E31" s="196"/>
      <c r="F31" s="196"/>
      <c r="G31" s="196"/>
      <c r="H31" s="196"/>
      <c r="I31" s="196"/>
      <c r="J31" s="135"/>
      <c r="K31" s="21">
        <v>65.329861111111114</v>
      </c>
      <c r="L31" s="21">
        <v>96.666666666666671</v>
      </c>
      <c r="M31" s="21">
        <f t="shared" si="1"/>
        <v>31.336805555555557</v>
      </c>
    </row>
    <row r="32" spans="1:13" x14ac:dyDescent="0.25">
      <c r="A32" s="135" t="s">
        <v>96</v>
      </c>
      <c r="B32" s="136">
        <v>45378</v>
      </c>
      <c r="C32" s="234" t="s">
        <v>701</v>
      </c>
      <c r="D32" s="235"/>
      <c r="E32" s="235"/>
      <c r="F32" s="235"/>
      <c r="G32" s="235"/>
      <c r="H32" s="235"/>
      <c r="I32" s="235"/>
      <c r="J32" s="135"/>
      <c r="K32" s="21">
        <v>65.329861111111114</v>
      </c>
      <c r="L32" s="21">
        <v>96.666666666666671</v>
      </c>
      <c r="M32" s="21">
        <f t="shared" si="1"/>
        <v>31.336805555555557</v>
      </c>
    </row>
    <row r="33" spans="1:13" x14ac:dyDescent="0.25">
      <c r="A33" s="135" t="s">
        <v>67</v>
      </c>
      <c r="B33" s="136">
        <v>45379</v>
      </c>
      <c r="C33" s="234" t="s">
        <v>702</v>
      </c>
      <c r="D33" s="235"/>
      <c r="E33" s="235"/>
      <c r="F33" s="235"/>
      <c r="G33" s="235"/>
      <c r="H33" s="235"/>
      <c r="I33" s="235"/>
      <c r="J33" s="135"/>
      <c r="K33" s="21">
        <v>65.329861111111114</v>
      </c>
      <c r="L33" s="21">
        <v>96.666666666666671</v>
      </c>
      <c r="M33" s="21">
        <f t="shared" si="1"/>
        <v>31.336805555555557</v>
      </c>
    </row>
    <row r="34" spans="1:13" x14ac:dyDescent="0.25">
      <c r="A34" s="157" t="s">
        <v>68</v>
      </c>
      <c r="B34" s="136">
        <v>45380</v>
      </c>
      <c r="C34" s="256"/>
      <c r="D34" s="257"/>
      <c r="E34" s="257"/>
      <c r="F34" s="257"/>
      <c r="G34" s="257"/>
      <c r="H34" s="257"/>
      <c r="I34" s="258"/>
      <c r="J34" s="157"/>
      <c r="K34" s="157"/>
      <c r="L34" s="157"/>
      <c r="M34" s="157"/>
    </row>
    <row r="35" spans="1:13" x14ac:dyDescent="0.25">
      <c r="A35" s="157" t="s">
        <v>69</v>
      </c>
      <c r="B35" s="158">
        <v>45381</v>
      </c>
      <c r="C35" s="243"/>
      <c r="D35" s="243"/>
      <c r="E35" s="243"/>
      <c r="F35" s="243"/>
      <c r="G35" s="243"/>
      <c r="H35" s="243"/>
      <c r="I35" s="243"/>
      <c r="J35" s="157"/>
      <c r="K35" s="159"/>
      <c r="L35" s="159"/>
      <c r="M35" s="159"/>
    </row>
    <row r="36" spans="1:13" x14ac:dyDescent="0.25">
      <c r="A36" s="157" t="s">
        <v>30</v>
      </c>
      <c r="B36" s="158">
        <v>45382</v>
      </c>
      <c r="C36" s="243"/>
      <c r="D36" s="243"/>
      <c r="E36" s="243"/>
      <c r="F36" s="243"/>
      <c r="G36" s="243"/>
      <c r="H36" s="243"/>
      <c r="I36" s="243"/>
      <c r="J36" s="157"/>
      <c r="K36" s="159"/>
      <c r="L36" s="159"/>
      <c r="M36" s="159"/>
    </row>
    <row r="1048573" spans="11:12" x14ac:dyDescent="0.25">
      <c r="K1048573" s="21"/>
      <c r="L1048573" s="21"/>
    </row>
  </sheetData>
  <mergeCells count="39">
    <mergeCell ref="C6:I6"/>
    <mergeCell ref="C7:I7"/>
    <mergeCell ref="C8:I8"/>
    <mergeCell ref="A1:A5"/>
    <mergeCell ref="B1:M1"/>
    <mergeCell ref="C2:E2"/>
    <mergeCell ref="G2:M2"/>
    <mergeCell ref="C3:E3"/>
    <mergeCell ref="G3:M3"/>
    <mergeCell ref="C5:J5"/>
    <mergeCell ref="C9:I9"/>
    <mergeCell ref="C10:I10"/>
    <mergeCell ref="C25:I25"/>
    <mergeCell ref="C26:I26"/>
    <mergeCell ref="C27:I27"/>
    <mergeCell ref="C23:I23"/>
    <mergeCell ref="C24:I24"/>
    <mergeCell ref="C16:I16"/>
    <mergeCell ref="C11:I11"/>
    <mergeCell ref="C12:I12"/>
    <mergeCell ref="C13:I13"/>
    <mergeCell ref="C14:I14"/>
    <mergeCell ref="C15:I15"/>
    <mergeCell ref="C28:I28"/>
    <mergeCell ref="C17:I17"/>
    <mergeCell ref="K11:M13"/>
    <mergeCell ref="C36:I36"/>
    <mergeCell ref="C30:I30"/>
    <mergeCell ref="C31:I31"/>
    <mergeCell ref="C32:I32"/>
    <mergeCell ref="C33:I33"/>
    <mergeCell ref="C34:I34"/>
    <mergeCell ref="C35:I35"/>
    <mergeCell ref="C29:I29"/>
    <mergeCell ref="C18:I18"/>
    <mergeCell ref="C19:I19"/>
    <mergeCell ref="C20:I20"/>
    <mergeCell ref="C21:I21"/>
    <mergeCell ref="C22:I2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1D60-B15A-4BCF-B28A-8C382A7ADC89}">
  <dimension ref="A1:M1048573"/>
  <sheetViews>
    <sheetView zoomScaleNormal="100" workbookViewId="0">
      <selection activeCell="C22" sqref="C22:I22"/>
    </sheetView>
  </sheetViews>
  <sheetFormatPr defaultColWidth="9.140625" defaultRowHeight="15" x14ac:dyDescent="0.25"/>
  <cols>
    <col min="1" max="1" width="11.42578125" style="125" bestFit="1" customWidth="1"/>
    <col min="2" max="2" width="15.7109375" style="125" bestFit="1" customWidth="1"/>
    <col min="3" max="4" width="9.140625" style="125"/>
    <col min="5" max="5" width="23.85546875" style="125" customWidth="1"/>
    <col min="6" max="6" width="54.140625" style="125" customWidth="1"/>
    <col min="7" max="8" width="9.140625" style="125"/>
    <col min="9" max="9" width="38" style="125" customWidth="1"/>
    <col min="10" max="10" width="9.140625" style="125"/>
    <col min="11" max="11" width="11.5703125" style="142" bestFit="1" customWidth="1"/>
    <col min="12" max="12" width="9.140625" style="141"/>
    <col min="13" max="13" width="10.28515625" style="125" bestFit="1" customWidth="1"/>
    <col min="14" max="16384" width="9.140625" style="125"/>
  </cols>
  <sheetData>
    <row r="1" spans="1:13" ht="18.75" x14ac:dyDescent="0.3">
      <c r="A1" s="195"/>
      <c r="B1" s="215" t="s">
        <v>0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</row>
    <row r="2" spans="1:13" x14ac:dyDescent="0.25">
      <c r="A2" s="195"/>
      <c r="B2" s="126" t="s">
        <v>1</v>
      </c>
      <c r="C2" s="200" t="s">
        <v>34</v>
      </c>
      <c r="D2" s="200"/>
      <c r="E2" s="200"/>
      <c r="F2" s="126" t="s">
        <v>8</v>
      </c>
      <c r="G2" s="200" t="s">
        <v>35</v>
      </c>
      <c r="H2" s="200"/>
      <c r="I2" s="200"/>
      <c r="J2" s="200"/>
      <c r="K2" s="200"/>
      <c r="L2" s="200"/>
      <c r="M2" s="200"/>
    </row>
    <row r="3" spans="1:13" x14ac:dyDescent="0.25">
      <c r="A3" s="195"/>
      <c r="B3" s="126" t="s">
        <v>2</v>
      </c>
      <c r="C3" s="200" t="s">
        <v>36</v>
      </c>
      <c r="D3" s="200"/>
      <c r="E3" s="200"/>
      <c r="F3" s="126" t="s">
        <v>3</v>
      </c>
      <c r="G3" s="200" t="s">
        <v>13</v>
      </c>
      <c r="H3" s="200"/>
      <c r="I3" s="200"/>
      <c r="J3" s="200"/>
      <c r="K3" s="200"/>
      <c r="L3" s="200"/>
      <c r="M3" s="200"/>
    </row>
    <row r="4" spans="1:13" x14ac:dyDescent="0.25">
      <c r="A4" s="195"/>
      <c r="B4" s="127"/>
      <c r="C4" s="127"/>
      <c r="D4" s="127"/>
      <c r="E4" s="127"/>
      <c r="F4" s="127"/>
      <c r="G4" s="127"/>
      <c r="H4" s="127"/>
      <c r="I4" s="127"/>
      <c r="J4" s="127"/>
      <c r="K4" s="128"/>
      <c r="L4" s="129"/>
      <c r="M4" s="129"/>
    </row>
    <row r="5" spans="1:13" x14ac:dyDescent="0.25">
      <c r="A5" s="195"/>
      <c r="B5" s="130" t="s">
        <v>7</v>
      </c>
      <c r="C5" s="197" t="s">
        <v>4</v>
      </c>
      <c r="D5" s="197"/>
      <c r="E5" s="197"/>
      <c r="F5" s="197"/>
      <c r="G5" s="197"/>
      <c r="H5" s="197"/>
      <c r="I5" s="197"/>
      <c r="J5" s="197"/>
      <c r="K5" s="131" t="s">
        <v>5</v>
      </c>
      <c r="L5" s="132" t="s">
        <v>6</v>
      </c>
      <c r="M5" s="130" t="s">
        <v>491</v>
      </c>
    </row>
    <row r="6" spans="1:13" ht="15" customHeight="1" x14ac:dyDescent="0.25">
      <c r="A6" s="135" t="s">
        <v>67</v>
      </c>
      <c r="B6" s="136">
        <v>45323</v>
      </c>
      <c r="C6" s="196" t="s">
        <v>662</v>
      </c>
      <c r="D6" s="196"/>
      <c r="E6" s="196"/>
      <c r="F6" s="196"/>
      <c r="G6" s="196"/>
      <c r="H6" s="196"/>
      <c r="I6" s="196"/>
      <c r="J6" s="135"/>
      <c r="K6" s="21">
        <v>65.413888888888891</v>
      </c>
      <c r="L6" s="21">
        <v>96.722222222222229</v>
      </c>
      <c r="M6" s="21">
        <f>L6-K6</f>
        <v>31.308333333333337</v>
      </c>
    </row>
    <row r="7" spans="1:13" x14ac:dyDescent="0.25">
      <c r="A7" s="135" t="s">
        <v>68</v>
      </c>
      <c r="B7" s="136">
        <v>45324</v>
      </c>
      <c r="C7" s="194" t="s">
        <v>664</v>
      </c>
      <c r="D7" s="194"/>
      <c r="E7" s="194"/>
      <c r="F7" s="194"/>
      <c r="G7" s="194"/>
      <c r="H7" s="194"/>
      <c r="I7" s="194"/>
      <c r="J7" s="135"/>
      <c r="K7" s="21">
        <v>65.357638888888886</v>
      </c>
      <c r="L7" s="21">
        <v>96.770833333333329</v>
      </c>
      <c r="M7" s="21">
        <f>L7-K7</f>
        <v>31.413194444444443</v>
      </c>
    </row>
    <row r="8" spans="1:13" x14ac:dyDescent="0.25">
      <c r="A8" s="143" t="s">
        <v>69</v>
      </c>
      <c r="B8" s="144">
        <v>45325</v>
      </c>
      <c r="C8" s="226"/>
      <c r="D8" s="226"/>
      <c r="E8" s="226"/>
      <c r="F8" s="226"/>
      <c r="G8" s="226"/>
      <c r="H8" s="226"/>
      <c r="I8" s="226"/>
      <c r="J8" s="143"/>
      <c r="K8" s="145"/>
      <c r="L8" s="145"/>
      <c r="M8" s="145"/>
    </row>
    <row r="9" spans="1:13" x14ac:dyDescent="0.25">
      <c r="A9" s="143" t="s">
        <v>30</v>
      </c>
      <c r="B9" s="144">
        <v>45326</v>
      </c>
      <c r="C9" s="226"/>
      <c r="D9" s="226"/>
      <c r="E9" s="226"/>
      <c r="F9" s="226"/>
      <c r="G9" s="226"/>
      <c r="H9" s="226"/>
      <c r="I9" s="226"/>
      <c r="J9" s="154"/>
      <c r="K9" s="145"/>
      <c r="L9" s="145"/>
      <c r="M9" s="145"/>
    </row>
    <row r="10" spans="1:13" x14ac:dyDescent="0.25">
      <c r="A10" s="135" t="s">
        <v>64</v>
      </c>
      <c r="B10" s="136">
        <v>45327</v>
      </c>
      <c r="C10" s="196" t="s">
        <v>663</v>
      </c>
      <c r="D10" s="196"/>
      <c r="E10" s="196"/>
      <c r="F10" s="196"/>
      <c r="G10" s="196"/>
      <c r="H10" s="196"/>
      <c r="I10" s="196"/>
      <c r="J10" s="51"/>
      <c r="K10" s="21">
        <v>65.390972222222217</v>
      </c>
      <c r="L10" s="21">
        <v>65.791666666666671</v>
      </c>
      <c r="M10" s="21">
        <f t="shared" ref="M10:M13" si="0">L10-K10</f>
        <v>0.40069444444445423</v>
      </c>
    </row>
    <row r="11" spans="1:13" x14ac:dyDescent="0.25">
      <c r="A11" s="135" t="s">
        <v>65</v>
      </c>
      <c r="B11" s="136">
        <v>45328</v>
      </c>
      <c r="C11" s="196" t="s">
        <v>665</v>
      </c>
      <c r="D11" s="196"/>
      <c r="E11" s="196"/>
      <c r="F11" s="196"/>
      <c r="G11" s="196"/>
      <c r="H11" s="196"/>
      <c r="I11" s="196"/>
      <c r="J11" s="51"/>
      <c r="K11" s="21">
        <v>65.347222222222229</v>
      </c>
      <c r="L11" s="21">
        <v>65.8125</v>
      </c>
      <c r="M11" s="21">
        <f t="shared" si="0"/>
        <v>0.46527777777777146</v>
      </c>
    </row>
    <row r="12" spans="1:13" x14ac:dyDescent="0.25">
      <c r="A12" s="135" t="s">
        <v>96</v>
      </c>
      <c r="B12" s="136">
        <v>45329</v>
      </c>
      <c r="C12" s="194" t="s">
        <v>666</v>
      </c>
      <c r="D12" s="194"/>
      <c r="E12" s="194"/>
      <c r="F12" s="194"/>
      <c r="G12" s="194"/>
      <c r="H12" s="194"/>
      <c r="I12" s="194"/>
      <c r="J12" s="51"/>
      <c r="K12" s="21">
        <v>65.406944444444449</v>
      </c>
      <c r="L12" s="21">
        <v>65.740972222222226</v>
      </c>
      <c r="M12" s="21">
        <f t="shared" si="0"/>
        <v>0.33402777777777715</v>
      </c>
    </row>
    <row r="13" spans="1:13" x14ac:dyDescent="0.25">
      <c r="A13" s="135" t="s">
        <v>67</v>
      </c>
      <c r="B13" s="136">
        <v>45330</v>
      </c>
      <c r="C13" s="196" t="s">
        <v>667</v>
      </c>
      <c r="D13" s="196"/>
      <c r="E13" s="196"/>
      <c r="F13" s="196"/>
      <c r="G13" s="196"/>
      <c r="H13" s="196"/>
      <c r="I13" s="196"/>
      <c r="J13" s="135"/>
      <c r="K13" s="21">
        <v>65.40625</v>
      </c>
      <c r="L13" s="21">
        <v>65.824305555555554</v>
      </c>
      <c r="M13" s="21">
        <f t="shared" si="0"/>
        <v>0.41805555555555429</v>
      </c>
    </row>
    <row r="14" spans="1:13" x14ac:dyDescent="0.25">
      <c r="A14" s="135" t="s">
        <v>68</v>
      </c>
      <c r="B14" s="136">
        <v>45331</v>
      </c>
      <c r="C14" s="194" t="s">
        <v>668</v>
      </c>
      <c r="D14" s="194"/>
      <c r="E14" s="194"/>
      <c r="F14" s="194"/>
      <c r="G14" s="194"/>
      <c r="H14" s="194"/>
      <c r="I14" s="194"/>
      <c r="J14" s="135"/>
      <c r="K14" s="21">
        <v>65.388888888888886</v>
      </c>
      <c r="L14" s="21">
        <v>96.666666666666671</v>
      </c>
      <c r="M14" s="21">
        <f t="shared" ref="M14:M32" si="1">L14-K14</f>
        <v>31.277777777777786</v>
      </c>
    </row>
    <row r="15" spans="1:13" x14ac:dyDescent="0.25">
      <c r="A15" s="143" t="s">
        <v>69</v>
      </c>
      <c r="B15" s="144">
        <v>45332</v>
      </c>
      <c r="C15" s="226"/>
      <c r="D15" s="226"/>
      <c r="E15" s="226"/>
      <c r="F15" s="226"/>
      <c r="G15" s="226"/>
      <c r="H15" s="226"/>
      <c r="I15" s="226"/>
      <c r="J15" s="143"/>
      <c r="K15" s="145"/>
      <c r="L15" s="145"/>
      <c r="M15" s="145"/>
    </row>
    <row r="16" spans="1:13" x14ac:dyDescent="0.25">
      <c r="A16" s="143" t="s">
        <v>30</v>
      </c>
      <c r="B16" s="144">
        <v>45333</v>
      </c>
      <c r="C16" s="226"/>
      <c r="D16" s="226"/>
      <c r="E16" s="226"/>
      <c r="F16" s="226"/>
      <c r="G16" s="226"/>
      <c r="H16" s="226"/>
      <c r="I16" s="226"/>
      <c r="J16" s="154"/>
      <c r="K16" s="145"/>
      <c r="L16" s="145"/>
      <c r="M16" s="145"/>
    </row>
    <row r="17" spans="1:13" x14ac:dyDescent="0.25">
      <c r="A17" s="135" t="s">
        <v>64</v>
      </c>
      <c r="B17" s="136">
        <v>45334</v>
      </c>
      <c r="C17" s="196" t="s">
        <v>669</v>
      </c>
      <c r="D17" s="196"/>
      <c r="E17" s="196"/>
      <c r="F17" s="196"/>
      <c r="G17" s="196"/>
      <c r="H17" s="196"/>
      <c r="I17" s="196"/>
      <c r="J17" s="51"/>
      <c r="K17" s="21">
        <v>65.399305555555557</v>
      </c>
      <c r="L17" s="21">
        <v>96.798611111111114</v>
      </c>
      <c r="M17" s="21">
        <f t="shared" si="1"/>
        <v>31.399305555555557</v>
      </c>
    </row>
    <row r="18" spans="1:13" x14ac:dyDescent="0.25">
      <c r="A18" s="135" t="s">
        <v>65</v>
      </c>
      <c r="B18" s="136">
        <v>45335</v>
      </c>
      <c r="C18" s="259" t="s">
        <v>670</v>
      </c>
      <c r="D18" s="259"/>
      <c r="E18" s="259"/>
      <c r="F18" s="259"/>
      <c r="G18" s="259"/>
      <c r="H18" s="259"/>
      <c r="I18" s="259"/>
      <c r="J18" s="135"/>
      <c r="K18" s="21">
        <v>65.378472222222229</v>
      </c>
      <c r="L18" s="21">
        <v>96.753472222222229</v>
      </c>
      <c r="M18" s="21">
        <f t="shared" si="1"/>
        <v>31.375</v>
      </c>
    </row>
    <row r="19" spans="1:13" x14ac:dyDescent="0.25">
      <c r="A19" s="135" t="s">
        <v>96</v>
      </c>
      <c r="B19" s="136">
        <v>45336</v>
      </c>
      <c r="C19" s="196" t="s">
        <v>671</v>
      </c>
      <c r="D19" s="196"/>
      <c r="E19" s="196"/>
      <c r="F19" s="196"/>
      <c r="G19" s="196"/>
      <c r="H19" s="196"/>
      <c r="I19" s="196"/>
      <c r="J19" s="135"/>
      <c r="K19" s="21">
        <v>65.385416666666671</v>
      </c>
      <c r="L19" s="21">
        <v>65.743055555555557</v>
      </c>
      <c r="M19" s="21">
        <f t="shared" si="1"/>
        <v>0.35763888888888573</v>
      </c>
    </row>
    <row r="20" spans="1:13" x14ac:dyDescent="0.25">
      <c r="A20" s="135" t="s">
        <v>67</v>
      </c>
      <c r="B20" s="136">
        <v>45337</v>
      </c>
      <c r="C20" s="196" t="s">
        <v>673</v>
      </c>
      <c r="D20" s="196"/>
      <c r="E20" s="196"/>
      <c r="F20" s="196"/>
      <c r="G20" s="196"/>
      <c r="H20" s="196"/>
      <c r="I20" s="196"/>
      <c r="J20" s="135"/>
      <c r="K20" s="21" t="s">
        <v>171</v>
      </c>
      <c r="L20" s="21" t="s">
        <v>171</v>
      </c>
      <c r="M20" s="21" t="s">
        <v>171</v>
      </c>
    </row>
    <row r="21" spans="1:13" x14ac:dyDescent="0.25">
      <c r="A21" s="135" t="s">
        <v>68</v>
      </c>
      <c r="B21" s="136">
        <v>45338</v>
      </c>
      <c r="C21" s="196" t="s">
        <v>674</v>
      </c>
      <c r="D21" s="196"/>
      <c r="E21" s="196"/>
      <c r="F21" s="196"/>
      <c r="G21" s="196"/>
      <c r="H21" s="196"/>
      <c r="I21" s="196"/>
      <c r="J21" s="135"/>
      <c r="K21" s="21" t="s">
        <v>171</v>
      </c>
      <c r="L21" s="21" t="s">
        <v>171</v>
      </c>
      <c r="M21" s="21" t="s">
        <v>171</v>
      </c>
    </row>
    <row r="22" spans="1:13" x14ac:dyDescent="0.25">
      <c r="A22" s="143" t="s">
        <v>69</v>
      </c>
      <c r="B22" s="144">
        <v>45339</v>
      </c>
      <c r="C22" s="226"/>
      <c r="D22" s="226"/>
      <c r="E22" s="226"/>
      <c r="F22" s="226"/>
      <c r="G22" s="226"/>
      <c r="H22" s="226"/>
      <c r="I22" s="226"/>
      <c r="J22" s="143"/>
      <c r="K22" s="145"/>
      <c r="L22" s="145"/>
      <c r="M22" s="145"/>
    </row>
    <row r="23" spans="1:13" x14ac:dyDescent="0.25">
      <c r="A23" s="143" t="s">
        <v>30</v>
      </c>
      <c r="B23" s="144">
        <v>45340</v>
      </c>
      <c r="C23" s="226"/>
      <c r="D23" s="226"/>
      <c r="E23" s="226"/>
      <c r="F23" s="226"/>
      <c r="G23" s="226"/>
      <c r="H23" s="226"/>
      <c r="I23" s="226"/>
      <c r="J23" s="155"/>
      <c r="K23" s="145"/>
      <c r="L23" s="145"/>
      <c r="M23" s="145"/>
    </row>
    <row r="24" spans="1:13" x14ac:dyDescent="0.25">
      <c r="A24" s="135" t="s">
        <v>64</v>
      </c>
      <c r="B24" s="136">
        <v>45341</v>
      </c>
      <c r="C24" s="194" t="s">
        <v>171</v>
      </c>
      <c r="D24" s="194"/>
      <c r="E24" s="194"/>
      <c r="F24" s="194"/>
      <c r="G24" s="194"/>
      <c r="H24" s="194"/>
      <c r="I24" s="194"/>
      <c r="J24" s="146"/>
      <c r="K24" s="21">
        <v>65.375</v>
      </c>
      <c r="L24" s="21">
        <v>96.6875</v>
      </c>
      <c r="M24" s="21">
        <f t="shared" si="1"/>
        <v>31.3125</v>
      </c>
    </row>
    <row r="25" spans="1:13" x14ac:dyDescent="0.25">
      <c r="A25" s="135" t="s">
        <v>65</v>
      </c>
      <c r="B25" s="136">
        <v>45342</v>
      </c>
      <c r="C25" s="195" t="s">
        <v>675</v>
      </c>
      <c r="D25" s="195"/>
      <c r="E25" s="195"/>
      <c r="F25" s="195"/>
      <c r="G25" s="195"/>
      <c r="H25" s="195"/>
      <c r="I25" s="195"/>
      <c r="J25" s="146"/>
      <c r="K25" s="21">
        <v>65.381944444444443</v>
      </c>
      <c r="L25" s="21">
        <v>96.743055555555557</v>
      </c>
      <c r="M25" s="21">
        <f t="shared" si="1"/>
        <v>31.361111111111114</v>
      </c>
    </row>
    <row r="26" spans="1:13" customFormat="1" ht="31.5" customHeight="1" x14ac:dyDescent="0.25">
      <c r="A26" s="18" t="s">
        <v>96</v>
      </c>
      <c r="B26" s="95">
        <v>45343</v>
      </c>
      <c r="C26" s="195" t="s">
        <v>672</v>
      </c>
      <c r="D26" s="195"/>
      <c r="E26" s="195"/>
      <c r="F26" s="195"/>
      <c r="G26" s="195"/>
      <c r="H26" s="195"/>
      <c r="I26" s="195"/>
      <c r="J26" s="37"/>
      <c r="K26" s="21">
        <v>65.381944444444443</v>
      </c>
      <c r="L26" s="21">
        <v>96.770833333333329</v>
      </c>
      <c r="M26" s="21">
        <f t="shared" si="1"/>
        <v>31.388888888888886</v>
      </c>
    </row>
    <row r="27" spans="1:13" x14ac:dyDescent="0.25">
      <c r="A27" s="135" t="s">
        <v>67</v>
      </c>
      <c r="B27" s="136">
        <v>45344</v>
      </c>
      <c r="C27" s="195" t="s">
        <v>676</v>
      </c>
      <c r="D27" s="195"/>
      <c r="E27" s="195"/>
      <c r="F27" s="195"/>
      <c r="G27" s="195"/>
      <c r="H27" s="195"/>
      <c r="I27" s="195"/>
      <c r="J27" s="135"/>
      <c r="K27" s="21">
        <v>65.388888888888886</v>
      </c>
      <c r="L27" s="21">
        <v>96.753472222222229</v>
      </c>
      <c r="M27" s="21">
        <f t="shared" si="1"/>
        <v>31.364583333333343</v>
      </c>
    </row>
    <row r="28" spans="1:13" x14ac:dyDescent="0.25">
      <c r="A28" s="135" t="s">
        <v>68</v>
      </c>
      <c r="B28" s="136">
        <v>45345</v>
      </c>
      <c r="C28" s="194" t="s">
        <v>680</v>
      </c>
      <c r="D28" s="194"/>
      <c r="E28" s="194"/>
      <c r="F28" s="194"/>
      <c r="G28" s="194"/>
      <c r="H28" s="194"/>
      <c r="I28" s="194"/>
      <c r="J28" s="135"/>
      <c r="K28" s="21">
        <v>65.389583333333334</v>
      </c>
      <c r="L28" s="21">
        <v>96.753472222222229</v>
      </c>
      <c r="M28" s="21">
        <f t="shared" si="1"/>
        <v>31.363888888888894</v>
      </c>
    </row>
    <row r="29" spans="1:13" x14ac:dyDescent="0.25">
      <c r="A29" s="143" t="s">
        <v>69</v>
      </c>
      <c r="B29" s="144">
        <v>45346</v>
      </c>
      <c r="C29" s="226"/>
      <c r="D29" s="226"/>
      <c r="E29" s="226"/>
      <c r="F29" s="226"/>
      <c r="G29" s="226"/>
      <c r="H29" s="226"/>
      <c r="I29" s="226"/>
      <c r="J29" s="143"/>
      <c r="K29" s="145"/>
      <c r="L29" s="145"/>
      <c r="M29" s="145"/>
    </row>
    <row r="30" spans="1:13" x14ac:dyDescent="0.25">
      <c r="A30" s="143" t="s">
        <v>30</v>
      </c>
      <c r="B30" s="144">
        <v>45347</v>
      </c>
      <c r="C30" s="225"/>
      <c r="D30" s="225"/>
      <c r="E30" s="225"/>
      <c r="F30" s="225"/>
      <c r="G30" s="225"/>
      <c r="H30" s="225"/>
      <c r="I30" s="225"/>
      <c r="J30" s="143"/>
      <c r="K30" s="145"/>
      <c r="L30" s="145"/>
      <c r="M30" s="145"/>
    </row>
    <row r="31" spans="1:13" x14ac:dyDescent="0.25">
      <c r="A31" s="135" t="s">
        <v>64</v>
      </c>
      <c r="B31" s="136">
        <v>45348</v>
      </c>
      <c r="C31" s="196" t="s">
        <v>679</v>
      </c>
      <c r="D31" s="196"/>
      <c r="E31" s="196"/>
      <c r="F31" s="196"/>
      <c r="G31" s="196"/>
      <c r="H31" s="196"/>
      <c r="I31" s="196"/>
      <c r="J31" s="135"/>
      <c r="K31" s="21">
        <v>65.447916666666671</v>
      </c>
      <c r="L31" s="21">
        <v>96.770833333333329</v>
      </c>
      <c r="M31" s="21">
        <f t="shared" si="1"/>
        <v>31.322916666666657</v>
      </c>
    </row>
    <row r="32" spans="1:13" x14ac:dyDescent="0.25">
      <c r="A32" s="135" t="s">
        <v>65</v>
      </c>
      <c r="B32" s="136">
        <v>45349</v>
      </c>
      <c r="C32" s="234" t="s">
        <v>677</v>
      </c>
      <c r="D32" s="235"/>
      <c r="E32" s="235"/>
      <c r="F32" s="235"/>
      <c r="G32" s="235"/>
      <c r="H32" s="235"/>
      <c r="I32" s="235"/>
      <c r="J32" s="135"/>
      <c r="K32" s="21">
        <v>65.354166666666671</v>
      </c>
      <c r="L32" s="21">
        <v>96.604166666666671</v>
      </c>
      <c r="M32" s="21">
        <f t="shared" si="1"/>
        <v>31.25</v>
      </c>
    </row>
    <row r="33" spans="1:13" x14ac:dyDescent="0.25">
      <c r="A33" s="135" t="s">
        <v>96</v>
      </c>
      <c r="B33" s="136">
        <v>45350</v>
      </c>
      <c r="C33" s="234" t="s">
        <v>678</v>
      </c>
      <c r="D33" s="235"/>
      <c r="E33" s="235"/>
      <c r="F33" s="235"/>
      <c r="G33" s="235"/>
      <c r="H33" s="235"/>
      <c r="I33" s="235"/>
      <c r="J33" s="135"/>
      <c r="K33" s="21" t="s">
        <v>171</v>
      </c>
      <c r="L33" s="21" t="s">
        <v>171</v>
      </c>
      <c r="M33" s="21" t="s">
        <v>171</v>
      </c>
    </row>
    <row r="34" spans="1:13" x14ac:dyDescent="0.25">
      <c r="A34" s="135" t="s">
        <v>67</v>
      </c>
      <c r="B34" s="136">
        <v>45351</v>
      </c>
      <c r="C34" s="195" t="s">
        <v>676</v>
      </c>
      <c r="D34" s="195"/>
      <c r="E34" s="195"/>
      <c r="F34" s="195"/>
      <c r="G34" s="195"/>
      <c r="H34" s="195"/>
      <c r="I34" s="195"/>
      <c r="J34" s="135"/>
      <c r="K34" s="21" t="s">
        <v>171</v>
      </c>
      <c r="L34" s="21" t="s">
        <v>171</v>
      </c>
      <c r="M34" s="21" t="s">
        <v>171</v>
      </c>
    </row>
    <row r="35" spans="1:13" x14ac:dyDescent="0.25">
      <c r="B35" s="156"/>
      <c r="C35" s="260"/>
      <c r="D35" s="260"/>
      <c r="E35" s="260"/>
      <c r="F35" s="260"/>
      <c r="G35" s="260"/>
      <c r="H35" s="260"/>
      <c r="I35" s="260"/>
      <c r="K35" s="122"/>
      <c r="L35" s="122"/>
      <c r="M35" s="122"/>
    </row>
    <row r="36" spans="1:13" x14ac:dyDescent="0.25">
      <c r="B36" s="156"/>
      <c r="C36" s="260"/>
      <c r="D36" s="260"/>
      <c r="E36" s="260"/>
      <c r="F36" s="260"/>
      <c r="G36" s="260"/>
      <c r="H36" s="260"/>
      <c r="I36" s="260"/>
      <c r="K36" s="122"/>
      <c r="L36" s="122"/>
      <c r="M36" s="122"/>
    </row>
    <row r="1048573" spans="11:12" x14ac:dyDescent="0.25">
      <c r="K1048573" s="21"/>
      <c r="L1048573" s="21"/>
    </row>
  </sheetData>
  <mergeCells count="38">
    <mergeCell ref="C36:I36"/>
    <mergeCell ref="C30:I30"/>
    <mergeCell ref="C31:I31"/>
    <mergeCell ref="C32:I32"/>
    <mergeCell ref="C33:I33"/>
    <mergeCell ref="C34:I34"/>
    <mergeCell ref="C35:I35"/>
    <mergeCell ref="C29:I29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17:I17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A1:A5"/>
    <mergeCell ref="B1:M1"/>
    <mergeCell ref="C2:E2"/>
    <mergeCell ref="G2:M2"/>
    <mergeCell ref="C3:E3"/>
    <mergeCell ref="G3:M3"/>
    <mergeCell ref="C5:J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74A6-3B1E-46BC-B492-5B1A0C705571}">
  <dimension ref="A1:M1048573"/>
  <sheetViews>
    <sheetView topLeftCell="A4" zoomScaleNormal="100" workbookViewId="0">
      <selection activeCell="C22" sqref="C22:I22"/>
    </sheetView>
  </sheetViews>
  <sheetFormatPr defaultColWidth="9.140625" defaultRowHeight="15" x14ac:dyDescent="0.25"/>
  <cols>
    <col min="1" max="1" width="11.42578125" style="125" bestFit="1" customWidth="1"/>
    <col min="2" max="2" width="15.7109375" style="125" bestFit="1" customWidth="1"/>
    <col min="3" max="4" width="9.140625" style="125"/>
    <col min="5" max="5" width="23.85546875" style="125" customWidth="1"/>
    <col min="6" max="6" width="54.140625" style="125" customWidth="1"/>
    <col min="7" max="8" width="9.140625" style="125"/>
    <col min="9" max="9" width="38" style="125" customWidth="1"/>
    <col min="10" max="10" width="9.140625" style="125"/>
    <col min="11" max="11" width="11.5703125" style="142" bestFit="1" customWidth="1"/>
    <col min="12" max="12" width="9.140625" style="141"/>
    <col min="13" max="13" width="10.28515625" style="125" bestFit="1" customWidth="1"/>
    <col min="14" max="16384" width="9.140625" style="125"/>
  </cols>
  <sheetData>
    <row r="1" spans="1:13" ht="18.75" x14ac:dyDescent="0.3">
      <c r="A1" s="195"/>
      <c r="B1" s="215" t="s">
        <v>0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</row>
    <row r="2" spans="1:13" x14ac:dyDescent="0.25">
      <c r="A2" s="195"/>
      <c r="B2" s="126" t="s">
        <v>1</v>
      </c>
      <c r="C2" s="200" t="s">
        <v>34</v>
      </c>
      <c r="D2" s="200"/>
      <c r="E2" s="200"/>
      <c r="F2" s="126" t="s">
        <v>8</v>
      </c>
      <c r="G2" s="200" t="s">
        <v>35</v>
      </c>
      <c r="H2" s="200"/>
      <c r="I2" s="200"/>
      <c r="J2" s="200"/>
      <c r="K2" s="200"/>
      <c r="L2" s="200"/>
      <c r="M2" s="200"/>
    </row>
    <row r="3" spans="1:13" x14ac:dyDescent="0.25">
      <c r="A3" s="195"/>
      <c r="B3" s="126" t="s">
        <v>2</v>
      </c>
      <c r="C3" s="200" t="s">
        <v>36</v>
      </c>
      <c r="D3" s="200"/>
      <c r="E3" s="200"/>
      <c r="F3" s="126" t="s">
        <v>3</v>
      </c>
      <c r="G3" s="200" t="s">
        <v>13</v>
      </c>
      <c r="H3" s="200"/>
      <c r="I3" s="200"/>
      <c r="J3" s="200"/>
      <c r="K3" s="200"/>
      <c r="L3" s="200"/>
      <c r="M3" s="200"/>
    </row>
    <row r="4" spans="1:13" x14ac:dyDescent="0.25">
      <c r="A4" s="195"/>
      <c r="B4" s="127"/>
      <c r="C4" s="127"/>
      <c r="D4" s="127"/>
      <c r="E4" s="127"/>
      <c r="F4" s="127"/>
      <c r="G4" s="127"/>
      <c r="H4" s="127"/>
      <c r="I4" s="127"/>
      <c r="J4" s="127"/>
      <c r="K4" s="128"/>
      <c r="L4" s="129"/>
      <c r="M4" s="129"/>
    </row>
    <row r="5" spans="1:13" x14ac:dyDescent="0.25">
      <c r="A5" s="195"/>
      <c r="B5" s="130" t="s">
        <v>7</v>
      </c>
      <c r="C5" s="197" t="s">
        <v>4</v>
      </c>
      <c r="D5" s="197"/>
      <c r="E5" s="197"/>
      <c r="F5" s="197"/>
      <c r="G5" s="197"/>
      <c r="H5" s="197"/>
      <c r="I5" s="197"/>
      <c r="J5" s="197"/>
      <c r="K5" s="131" t="s">
        <v>5</v>
      </c>
      <c r="L5" s="132" t="s">
        <v>6</v>
      </c>
      <c r="M5" s="130" t="s">
        <v>491</v>
      </c>
    </row>
    <row r="6" spans="1:13" ht="15" customHeight="1" x14ac:dyDescent="0.25">
      <c r="A6" s="143" t="s">
        <v>64</v>
      </c>
      <c r="B6" s="144">
        <v>45292</v>
      </c>
      <c r="C6" s="225"/>
      <c r="D6" s="225"/>
      <c r="E6" s="225"/>
      <c r="F6" s="225"/>
      <c r="G6" s="225"/>
      <c r="H6" s="225"/>
      <c r="I6" s="225"/>
      <c r="J6" s="143"/>
      <c r="K6" s="145"/>
      <c r="L6" s="145"/>
      <c r="M6" s="145"/>
    </row>
    <row r="7" spans="1:13" x14ac:dyDescent="0.25">
      <c r="A7" s="135" t="s">
        <v>65</v>
      </c>
      <c r="B7" s="136">
        <v>45293</v>
      </c>
      <c r="C7" s="194" t="s">
        <v>640</v>
      </c>
      <c r="D7" s="194"/>
      <c r="E7" s="194"/>
      <c r="F7" s="194"/>
      <c r="G7" s="194"/>
      <c r="H7" s="194"/>
      <c r="I7" s="194"/>
      <c r="J7" s="135"/>
      <c r="K7" s="21">
        <v>65.357638888888886</v>
      </c>
      <c r="L7" s="21">
        <v>96.6875</v>
      </c>
      <c r="M7" s="21">
        <f>L9-K9</f>
        <v>31.361111111111114</v>
      </c>
    </row>
    <row r="8" spans="1:13" x14ac:dyDescent="0.25">
      <c r="A8" s="135" t="s">
        <v>96</v>
      </c>
      <c r="B8" s="136">
        <v>45294</v>
      </c>
      <c r="C8" s="194" t="s">
        <v>641</v>
      </c>
      <c r="D8" s="194"/>
      <c r="E8" s="194"/>
      <c r="F8" s="194"/>
      <c r="G8" s="194"/>
      <c r="H8" s="194"/>
      <c r="I8" s="194"/>
      <c r="J8" s="135"/>
      <c r="K8" s="21">
        <v>65.386111111111106</v>
      </c>
      <c r="L8" s="21">
        <v>96.78125</v>
      </c>
      <c r="M8" s="21">
        <f>L10-K10</f>
        <v>0</v>
      </c>
    </row>
    <row r="9" spans="1:13" x14ac:dyDescent="0.25">
      <c r="A9" s="135" t="s">
        <v>67</v>
      </c>
      <c r="B9" s="136">
        <v>45295</v>
      </c>
      <c r="C9" s="194" t="s">
        <v>642</v>
      </c>
      <c r="D9" s="194"/>
      <c r="E9" s="194"/>
      <c r="F9" s="194"/>
      <c r="G9" s="194"/>
      <c r="H9" s="194"/>
      <c r="I9" s="194"/>
      <c r="J9" s="51"/>
      <c r="K9" s="21">
        <v>65.381944444444443</v>
      </c>
      <c r="L9" s="21">
        <v>96.743055555555557</v>
      </c>
      <c r="M9" s="21">
        <f>L9-K9</f>
        <v>31.361111111111114</v>
      </c>
    </row>
    <row r="10" spans="1:13" x14ac:dyDescent="0.25">
      <c r="A10" s="135" t="s">
        <v>68</v>
      </c>
      <c r="B10" s="136">
        <v>45296</v>
      </c>
      <c r="C10" s="196" t="s">
        <v>643</v>
      </c>
      <c r="D10" s="196"/>
      <c r="E10" s="196"/>
      <c r="F10" s="196"/>
      <c r="G10" s="196"/>
      <c r="H10" s="196"/>
      <c r="I10" s="196"/>
      <c r="J10" s="51"/>
      <c r="K10" s="21"/>
      <c r="L10" s="21"/>
      <c r="M10" s="21"/>
    </row>
    <row r="11" spans="1:13" x14ac:dyDescent="0.25">
      <c r="A11" s="143" t="s">
        <v>69</v>
      </c>
      <c r="B11" s="144">
        <v>45297</v>
      </c>
      <c r="C11" s="225"/>
      <c r="D11" s="225"/>
      <c r="E11" s="225"/>
      <c r="F11" s="225"/>
      <c r="G11" s="225"/>
      <c r="H11" s="225"/>
      <c r="I11" s="225"/>
      <c r="J11" s="154"/>
      <c r="K11" s="145"/>
      <c r="L11" s="145"/>
      <c r="M11" s="145"/>
    </row>
    <row r="12" spans="1:13" x14ac:dyDescent="0.25">
      <c r="A12" s="143" t="s">
        <v>30</v>
      </c>
      <c r="B12" s="144">
        <v>45298</v>
      </c>
      <c r="C12" s="226"/>
      <c r="D12" s="226"/>
      <c r="E12" s="226"/>
      <c r="F12" s="226"/>
      <c r="G12" s="226"/>
      <c r="H12" s="226"/>
      <c r="I12" s="226"/>
      <c r="J12" s="154"/>
      <c r="K12" s="145"/>
      <c r="L12" s="145"/>
      <c r="M12" s="145"/>
    </row>
    <row r="13" spans="1:13" x14ac:dyDescent="0.25">
      <c r="A13" s="135" t="s">
        <v>64</v>
      </c>
      <c r="B13" s="136">
        <v>45299</v>
      </c>
      <c r="C13" s="196" t="s">
        <v>644</v>
      </c>
      <c r="D13" s="196"/>
      <c r="E13" s="196"/>
      <c r="F13" s="196"/>
      <c r="G13" s="196"/>
      <c r="H13" s="196"/>
      <c r="I13" s="196"/>
      <c r="J13" s="135"/>
      <c r="K13" s="21">
        <v>65.40625</v>
      </c>
      <c r="L13" s="21">
        <v>96.739583333333329</v>
      </c>
      <c r="M13" s="21">
        <f t="shared" ref="M13:M36" si="0">L13-K13</f>
        <v>31.333333333333329</v>
      </c>
    </row>
    <row r="14" spans="1:13" x14ac:dyDescent="0.25">
      <c r="A14" s="135" t="s">
        <v>65</v>
      </c>
      <c r="B14" s="136">
        <v>45300</v>
      </c>
      <c r="C14" s="194" t="s">
        <v>645</v>
      </c>
      <c r="D14" s="194"/>
      <c r="E14" s="194"/>
      <c r="F14" s="194"/>
      <c r="G14" s="194"/>
      <c r="H14" s="194"/>
      <c r="I14" s="194"/>
      <c r="J14" s="135"/>
      <c r="K14" s="21">
        <v>65.395833333333329</v>
      </c>
      <c r="L14" s="21">
        <v>96.708333333333329</v>
      </c>
      <c r="M14" s="21">
        <f t="shared" si="0"/>
        <v>31.3125</v>
      </c>
    </row>
    <row r="15" spans="1:13" x14ac:dyDescent="0.25">
      <c r="A15" s="135" t="s">
        <v>96</v>
      </c>
      <c r="B15" s="136">
        <v>45301</v>
      </c>
      <c r="C15" s="194" t="s">
        <v>647</v>
      </c>
      <c r="D15" s="194"/>
      <c r="E15" s="194"/>
      <c r="F15" s="194"/>
      <c r="G15" s="194"/>
      <c r="H15" s="194"/>
      <c r="I15" s="194"/>
      <c r="J15" s="135"/>
      <c r="K15" s="21">
        <v>65.402777777777771</v>
      </c>
      <c r="L15" s="21">
        <v>96.75</v>
      </c>
      <c r="M15" s="21">
        <f t="shared" si="0"/>
        <v>31.347222222222229</v>
      </c>
    </row>
    <row r="16" spans="1:13" x14ac:dyDescent="0.25">
      <c r="A16" s="135" t="s">
        <v>67</v>
      </c>
      <c r="B16" s="136">
        <v>45302</v>
      </c>
      <c r="C16" s="194" t="s">
        <v>646</v>
      </c>
      <c r="D16" s="194"/>
      <c r="E16" s="194"/>
      <c r="F16" s="194"/>
      <c r="G16" s="194"/>
      <c r="H16" s="194"/>
      <c r="I16" s="194"/>
      <c r="J16" s="51"/>
      <c r="K16" s="21">
        <v>65.385416666666671</v>
      </c>
      <c r="L16" s="21">
        <v>96.770833333333329</v>
      </c>
      <c r="M16" s="21">
        <f t="shared" si="0"/>
        <v>31.385416666666657</v>
      </c>
    </row>
    <row r="17" spans="1:13" x14ac:dyDescent="0.25">
      <c r="A17" s="135" t="s">
        <v>68</v>
      </c>
      <c r="B17" s="136">
        <v>45303</v>
      </c>
      <c r="C17" s="196" t="s">
        <v>651</v>
      </c>
      <c r="D17" s="196"/>
      <c r="E17" s="196"/>
      <c r="F17" s="196"/>
      <c r="G17" s="196"/>
      <c r="H17" s="196"/>
      <c r="I17" s="196"/>
      <c r="J17" s="51"/>
      <c r="K17" s="21">
        <v>65.392361111111114</v>
      </c>
      <c r="L17" s="21">
        <v>96.760416666666671</v>
      </c>
      <c r="M17" s="21">
        <f t="shared" si="0"/>
        <v>31.368055555555557</v>
      </c>
    </row>
    <row r="18" spans="1:13" x14ac:dyDescent="0.25">
      <c r="A18" s="143" t="s">
        <v>69</v>
      </c>
      <c r="B18" s="144">
        <v>45304</v>
      </c>
      <c r="C18" s="261"/>
      <c r="D18" s="261"/>
      <c r="E18" s="261"/>
      <c r="F18" s="261"/>
      <c r="G18" s="261"/>
      <c r="H18" s="261"/>
      <c r="I18" s="261"/>
      <c r="J18" s="143"/>
      <c r="K18" s="145"/>
      <c r="L18" s="145"/>
      <c r="M18" s="145"/>
    </row>
    <row r="19" spans="1:13" x14ac:dyDescent="0.25">
      <c r="A19" s="143" t="s">
        <v>30</v>
      </c>
      <c r="B19" s="144">
        <v>45305</v>
      </c>
      <c r="C19" s="225"/>
      <c r="D19" s="225"/>
      <c r="E19" s="225"/>
      <c r="F19" s="225"/>
      <c r="G19" s="225"/>
      <c r="H19" s="225"/>
      <c r="I19" s="225"/>
      <c r="J19" s="143"/>
      <c r="K19" s="145"/>
      <c r="L19" s="145"/>
      <c r="M19" s="145"/>
    </row>
    <row r="20" spans="1:13" x14ac:dyDescent="0.25">
      <c r="A20" s="143" t="s">
        <v>64</v>
      </c>
      <c r="B20" s="144">
        <v>45306</v>
      </c>
      <c r="C20" s="225" t="s">
        <v>653</v>
      </c>
      <c r="D20" s="225"/>
      <c r="E20" s="225"/>
      <c r="F20" s="225"/>
      <c r="G20" s="225"/>
      <c r="H20" s="225"/>
      <c r="I20" s="225"/>
      <c r="J20" s="143"/>
      <c r="K20" s="145"/>
      <c r="L20" s="145"/>
      <c r="M20" s="145"/>
    </row>
    <row r="21" spans="1:13" x14ac:dyDescent="0.25">
      <c r="A21" s="135" t="s">
        <v>65</v>
      </c>
      <c r="B21" s="136">
        <v>45307</v>
      </c>
      <c r="C21" s="196" t="s">
        <v>650</v>
      </c>
      <c r="D21" s="196"/>
      <c r="E21" s="196"/>
      <c r="F21" s="196"/>
      <c r="G21" s="196"/>
      <c r="H21" s="196"/>
      <c r="I21" s="196"/>
      <c r="J21" s="135"/>
      <c r="K21" s="21"/>
      <c r="L21" s="21"/>
      <c r="M21" s="21"/>
    </row>
    <row r="22" spans="1:13" x14ac:dyDescent="0.25">
      <c r="A22" s="135" t="s">
        <v>96</v>
      </c>
      <c r="B22" s="136">
        <v>45308</v>
      </c>
      <c r="C22" s="194" t="s">
        <v>652</v>
      </c>
      <c r="D22" s="194"/>
      <c r="E22" s="194"/>
      <c r="F22" s="194"/>
      <c r="G22" s="194"/>
      <c r="H22" s="194"/>
      <c r="I22" s="194"/>
      <c r="J22" s="135"/>
      <c r="K22" s="21">
        <v>65.309027777777771</v>
      </c>
      <c r="L22" s="21">
        <v>96.625</v>
      </c>
      <c r="M22" s="21">
        <f t="shared" ref="M22" si="1">L22-K22</f>
        <v>31.315972222222229</v>
      </c>
    </row>
    <row r="23" spans="1:13" x14ac:dyDescent="0.25">
      <c r="A23" s="135" t="s">
        <v>67</v>
      </c>
      <c r="B23" s="136">
        <v>45309</v>
      </c>
      <c r="C23" s="194" t="s">
        <v>649</v>
      </c>
      <c r="D23" s="194"/>
      <c r="E23" s="194"/>
      <c r="F23" s="194"/>
      <c r="G23" s="194"/>
      <c r="H23" s="194"/>
      <c r="I23" s="194"/>
      <c r="J23" s="146"/>
      <c r="K23" s="21">
        <v>65.333333333333329</v>
      </c>
      <c r="L23" s="21">
        <v>96.928472222222226</v>
      </c>
      <c r="M23" s="21">
        <f t="shared" si="0"/>
        <v>31.595138888888897</v>
      </c>
    </row>
    <row r="24" spans="1:13" x14ac:dyDescent="0.25">
      <c r="A24" s="135" t="s">
        <v>68</v>
      </c>
      <c r="B24" s="136">
        <v>45310</v>
      </c>
      <c r="C24" s="194" t="s">
        <v>648</v>
      </c>
      <c r="D24" s="194"/>
      <c r="E24" s="194"/>
      <c r="F24" s="194"/>
      <c r="G24" s="194"/>
      <c r="H24" s="194"/>
      <c r="I24" s="194"/>
      <c r="J24" s="146"/>
      <c r="K24" s="21">
        <v>65.452083333333334</v>
      </c>
      <c r="L24" s="21">
        <v>96.708333333333329</v>
      </c>
      <c r="M24" s="21">
        <f t="shared" si="0"/>
        <v>31.256249999999994</v>
      </c>
    </row>
    <row r="25" spans="1:13" x14ac:dyDescent="0.25">
      <c r="A25" s="143" t="s">
        <v>69</v>
      </c>
      <c r="B25" s="144">
        <v>45311</v>
      </c>
      <c r="C25" s="233"/>
      <c r="D25" s="233"/>
      <c r="E25" s="233"/>
      <c r="F25" s="233"/>
      <c r="G25" s="233"/>
      <c r="H25" s="233"/>
      <c r="I25" s="233"/>
      <c r="J25" s="155"/>
      <c r="K25" s="145"/>
      <c r="L25" s="145"/>
      <c r="M25" s="145"/>
    </row>
    <row r="26" spans="1:13" x14ac:dyDescent="0.25">
      <c r="A26" s="143" t="s">
        <v>30</v>
      </c>
      <c r="B26" s="144">
        <v>45312</v>
      </c>
      <c r="C26" s="233"/>
      <c r="D26" s="233"/>
      <c r="E26" s="233"/>
      <c r="F26" s="233"/>
      <c r="G26" s="233"/>
      <c r="H26" s="233"/>
      <c r="I26" s="233"/>
      <c r="J26" s="155"/>
      <c r="K26" s="145"/>
      <c r="L26" s="145"/>
      <c r="M26" s="145"/>
    </row>
    <row r="27" spans="1:13" x14ac:dyDescent="0.25">
      <c r="A27" s="135" t="s">
        <v>64</v>
      </c>
      <c r="B27" s="136">
        <v>45313</v>
      </c>
      <c r="C27" s="195" t="s">
        <v>657</v>
      </c>
      <c r="D27" s="195"/>
      <c r="E27" s="195"/>
      <c r="F27" s="195"/>
      <c r="G27" s="195"/>
      <c r="H27" s="195"/>
      <c r="I27" s="195"/>
      <c r="J27" s="135"/>
      <c r="K27" s="21">
        <v>65.350694444444443</v>
      </c>
      <c r="L27" s="21">
        <v>96.75</v>
      </c>
      <c r="M27" s="21">
        <f t="shared" si="0"/>
        <v>31.399305555555557</v>
      </c>
    </row>
    <row r="28" spans="1:13" x14ac:dyDescent="0.25">
      <c r="A28" s="135" t="s">
        <v>65</v>
      </c>
      <c r="B28" s="136">
        <v>45314</v>
      </c>
      <c r="C28" s="194" t="s">
        <v>658</v>
      </c>
      <c r="D28" s="194"/>
      <c r="E28" s="194"/>
      <c r="F28" s="194"/>
      <c r="G28" s="194"/>
      <c r="H28" s="194"/>
      <c r="I28" s="194"/>
      <c r="J28" s="135"/>
      <c r="K28" s="21">
        <v>65.361111111111114</v>
      </c>
      <c r="L28" s="21">
        <v>96.729166666666671</v>
      </c>
      <c r="M28" s="21">
        <f t="shared" si="0"/>
        <v>31.368055555555557</v>
      </c>
    </row>
    <row r="29" spans="1:13" x14ac:dyDescent="0.25">
      <c r="A29" s="135" t="s">
        <v>96</v>
      </c>
      <c r="B29" s="136">
        <v>45315</v>
      </c>
      <c r="C29" s="194" t="s">
        <v>656</v>
      </c>
      <c r="D29" s="194"/>
      <c r="E29" s="194"/>
      <c r="F29" s="194"/>
      <c r="G29" s="194"/>
      <c r="H29" s="194"/>
      <c r="I29" s="194"/>
      <c r="J29" s="135"/>
      <c r="K29" s="21">
        <v>65.409722222222229</v>
      </c>
      <c r="L29" s="21">
        <v>96.75</v>
      </c>
      <c r="M29" s="21">
        <f t="shared" si="0"/>
        <v>31.340277777777771</v>
      </c>
    </row>
    <row r="30" spans="1:13" x14ac:dyDescent="0.25">
      <c r="A30" s="135" t="s">
        <v>67</v>
      </c>
      <c r="B30" s="136">
        <v>45316</v>
      </c>
      <c r="C30" s="196" t="s">
        <v>655</v>
      </c>
      <c r="D30" s="196"/>
      <c r="E30" s="196"/>
      <c r="F30" s="196"/>
      <c r="G30" s="196"/>
      <c r="H30" s="196"/>
      <c r="I30" s="196"/>
      <c r="J30" s="135"/>
      <c r="K30" s="21">
        <v>65.395833333333329</v>
      </c>
      <c r="L30" s="21">
        <v>96.729166666666671</v>
      </c>
      <c r="M30" s="21">
        <f t="shared" si="0"/>
        <v>31.333333333333343</v>
      </c>
    </row>
    <row r="31" spans="1:13" x14ac:dyDescent="0.25">
      <c r="A31" s="135" t="s">
        <v>68</v>
      </c>
      <c r="B31" s="136">
        <v>45317</v>
      </c>
      <c r="C31" s="196" t="s">
        <v>654</v>
      </c>
      <c r="D31" s="196"/>
      <c r="E31" s="196"/>
      <c r="F31" s="196"/>
      <c r="G31" s="196"/>
      <c r="H31" s="196"/>
      <c r="I31" s="196"/>
      <c r="J31" s="135"/>
      <c r="K31" s="21">
        <v>65.375</v>
      </c>
      <c r="L31" s="21">
        <v>96.825000000000003</v>
      </c>
      <c r="M31" s="21">
        <f t="shared" si="0"/>
        <v>31.450000000000003</v>
      </c>
    </row>
    <row r="32" spans="1:13" x14ac:dyDescent="0.25">
      <c r="A32" s="143" t="s">
        <v>69</v>
      </c>
      <c r="B32" s="144">
        <v>45318</v>
      </c>
      <c r="C32" s="226"/>
      <c r="D32" s="226"/>
      <c r="E32" s="226"/>
      <c r="F32" s="226"/>
      <c r="G32" s="226"/>
      <c r="H32" s="226"/>
      <c r="I32" s="226"/>
      <c r="J32" s="143"/>
      <c r="K32" s="145"/>
      <c r="L32" s="145"/>
      <c r="M32" s="145"/>
    </row>
    <row r="33" spans="1:13" x14ac:dyDescent="0.25">
      <c r="A33" s="143" t="s">
        <v>30</v>
      </c>
      <c r="B33" s="144">
        <v>45319</v>
      </c>
      <c r="C33" s="226"/>
      <c r="D33" s="262"/>
      <c r="E33" s="262"/>
      <c r="F33" s="262"/>
      <c r="G33" s="262"/>
      <c r="H33" s="262"/>
      <c r="I33" s="262"/>
      <c r="J33" s="143"/>
      <c r="K33" s="145"/>
      <c r="L33" s="145"/>
      <c r="M33" s="145"/>
    </row>
    <row r="34" spans="1:13" x14ac:dyDescent="0.25">
      <c r="A34" s="135" t="s">
        <v>64</v>
      </c>
      <c r="B34" s="136">
        <v>45320</v>
      </c>
      <c r="C34" s="195" t="s">
        <v>659</v>
      </c>
      <c r="D34" s="195"/>
      <c r="E34" s="195"/>
      <c r="F34" s="195"/>
      <c r="G34" s="195"/>
      <c r="H34" s="195"/>
      <c r="I34" s="195"/>
      <c r="J34" s="135"/>
      <c r="K34" s="21">
        <v>65.416666666666671</v>
      </c>
      <c r="L34" s="21">
        <v>96.791666666666671</v>
      </c>
      <c r="M34" s="21">
        <f t="shared" si="0"/>
        <v>31.375</v>
      </c>
    </row>
    <row r="35" spans="1:13" x14ac:dyDescent="0.25">
      <c r="A35" s="135" t="s">
        <v>65</v>
      </c>
      <c r="B35" s="136">
        <v>45321</v>
      </c>
      <c r="C35" s="195" t="s">
        <v>660</v>
      </c>
      <c r="D35" s="195"/>
      <c r="E35" s="195"/>
      <c r="F35" s="195"/>
      <c r="G35" s="195"/>
      <c r="H35" s="195"/>
      <c r="I35" s="195"/>
      <c r="J35" s="135"/>
      <c r="K35" s="21">
        <v>65.333333333333329</v>
      </c>
      <c r="L35" s="21">
        <v>96.8125</v>
      </c>
      <c r="M35" s="21">
        <f t="shared" si="0"/>
        <v>31.479166666666671</v>
      </c>
    </row>
    <row r="36" spans="1:13" x14ac:dyDescent="0.25">
      <c r="A36" s="135" t="s">
        <v>96</v>
      </c>
      <c r="B36" s="136">
        <v>45322</v>
      </c>
      <c r="C36" s="195" t="s">
        <v>661</v>
      </c>
      <c r="D36" s="195"/>
      <c r="E36" s="195"/>
      <c r="F36" s="195"/>
      <c r="G36" s="195"/>
      <c r="H36" s="195"/>
      <c r="I36" s="195"/>
      <c r="J36" s="135"/>
      <c r="K36" s="21">
        <v>65.385416666666671</v>
      </c>
      <c r="L36" s="21">
        <v>96.75</v>
      </c>
      <c r="M36" s="21">
        <f t="shared" si="0"/>
        <v>31.364583333333329</v>
      </c>
    </row>
    <row r="1048573" spans="11:12" x14ac:dyDescent="0.25">
      <c r="K1048573" s="21"/>
      <c r="L1048573" s="21"/>
    </row>
  </sheetData>
  <mergeCells count="38">
    <mergeCell ref="C36:I36"/>
    <mergeCell ref="C30:I30"/>
    <mergeCell ref="C31:I31"/>
    <mergeCell ref="C32:I32"/>
    <mergeCell ref="C33:I33"/>
    <mergeCell ref="C34:I34"/>
    <mergeCell ref="C35:I35"/>
    <mergeCell ref="C29:I29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17:I17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A1:A5"/>
    <mergeCell ref="B1:M1"/>
    <mergeCell ref="C2:E2"/>
    <mergeCell ref="G2:M2"/>
    <mergeCell ref="C3:E3"/>
    <mergeCell ref="G3:M3"/>
    <mergeCell ref="C5:J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7F07-BDC4-4439-AA23-D1F44298677E}">
  <dimension ref="A1:M1048573"/>
  <sheetViews>
    <sheetView topLeftCell="A8" zoomScaleNormal="100" workbookViewId="0">
      <selection activeCell="K35" sqref="K35"/>
    </sheetView>
  </sheetViews>
  <sheetFormatPr defaultColWidth="9.140625" defaultRowHeight="15" x14ac:dyDescent="0.25"/>
  <cols>
    <col min="1" max="1" width="11.42578125" style="125" bestFit="1" customWidth="1"/>
    <col min="2" max="2" width="15.7109375" style="125" bestFit="1" customWidth="1"/>
    <col min="3" max="4" width="9.140625" style="125"/>
    <col min="5" max="5" width="23.85546875" style="125" customWidth="1"/>
    <col min="6" max="6" width="54.140625" style="125" customWidth="1"/>
    <col min="7" max="8" width="9.140625" style="125"/>
    <col min="9" max="9" width="38" style="125" customWidth="1"/>
    <col min="10" max="10" width="9.140625" style="125"/>
    <col min="11" max="11" width="11.5703125" style="142" bestFit="1" customWidth="1"/>
    <col min="12" max="12" width="9.140625" style="141"/>
    <col min="13" max="13" width="10.28515625" style="125" bestFit="1" customWidth="1"/>
    <col min="14" max="16384" width="9.140625" style="125"/>
  </cols>
  <sheetData>
    <row r="1" spans="1:13" ht="18.75" x14ac:dyDescent="0.3">
      <c r="A1" s="195"/>
      <c r="B1" s="215" t="s">
        <v>0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</row>
    <row r="2" spans="1:13" x14ac:dyDescent="0.25">
      <c r="A2" s="195"/>
      <c r="B2" s="126" t="s">
        <v>1</v>
      </c>
      <c r="C2" s="200" t="s">
        <v>34</v>
      </c>
      <c r="D2" s="200"/>
      <c r="E2" s="200"/>
      <c r="F2" s="126" t="s">
        <v>8</v>
      </c>
      <c r="G2" s="200" t="s">
        <v>35</v>
      </c>
      <c r="H2" s="200"/>
      <c r="I2" s="200"/>
      <c r="J2" s="200"/>
      <c r="K2" s="200"/>
      <c r="L2" s="200"/>
      <c r="M2" s="200"/>
    </row>
    <row r="3" spans="1:13" x14ac:dyDescent="0.25">
      <c r="A3" s="195"/>
      <c r="B3" s="126" t="s">
        <v>2</v>
      </c>
      <c r="C3" s="200" t="s">
        <v>36</v>
      </c>
      <c r="D3" s="200"/>
      <c r="E3" s="200"/>
      <c r="F3" s="126" t="s">
        <v>3</v>
      </c>
      <c r="G3" s="200" t="s">
        <v>13</v>
      </c>
      <c r="H3" s="200"/>
      <c r="I3" s="200"/>
      <c r="J3" s="200"/>
      <c r="K3" s="200"/>
      <c r="L3" s="200"/>
      <c r="M3" s="200"/>
    </row>
    <row r="4" spans="1:13" x14ac:dyDescent="0.25">
      <c r="A4" s="195"/>
      <c r="B4" s="127"/>
      <c r="C4" s="127"/>
      <c r="D4" s="127"/>
      <c r="E4" s="127"/>
      <c r="F4" s="127"/>
      <c r="G4" s="127"/>
      <c r="H4" s="127"/>
      <c r="I4" s="127"/>
      <c r="J4" s="127"/>
      <c r="K4" s="128"/>
      <c r="L4" s="129"/>
      <c r="M4" s="129"/>
    </row>
    <row r="5" spans="1:13" x14ac:dyDescent="0.25">
      <c r="A5" s="195"/>
      <c r="B5" s="130" t="s">
        <v>7</v>
      </c>
      <c r="C5" s="197" t="s">
        <v>4</v>
      </c>
      <c r="D5" s="197"/>
      <c r="E5" s="197"/>
      <c r="F5" s="197"/>
      <c r="G5" s="197"/>
      <c r="H5" s="197"/>
      <c r="I5" s="197"/>
      <c r="J5" s="197"/>
      <c r="K5" s="131" t="s">
        <v>5</v>
      </c>
      <c r="L5" s="132" t="s">
        <v>6</v>
      </c>
      <c r="M5" s="130" t="s">
        <v>491</v>
      </c>
    </row>
    <row r="6" spans="1:13" ht="15" customHeight="1" x14ac:dyDescent="0.25">
      <c r="A6" s="135" t="s">
        <v>68</v>
      </c>
      <c r="B6" s="136">
        <v>45261</v>
      </c>
      <c r="C6" s="196" t="s">
        <v>629</v>
      </c>
      <c r="D6" s="196"/>
      <c r="E6" s="196"/>
      <c r="F6" s="196"/>
      <c r="G6" s="196"/>
      <c r="H6" s="196"/>
      <c r="I6" s="196"/>
      <c r="J6" s="135"/>
      <c r="K6" s="21">
        <v>65.392361111111114</v>
      </c>
      <c r="L6" s="21">
        <v>96.715277777777771</v>
      </c>
      <c r="M6" s="21">
        <f t="shared" ref="M6:M34" si="0">L6-K6</f>
        <v>31.322916666666657</v>
      </c>
    </row>
    <row r="7" spans="1:13" x14ac:dyDescent="0.25">
      <c r="A7" s="147" t="s">
        <v>69</v>
      </c>
      <c r="B7" s="148">
        <v>45262</v>
      </c>
      <c r="C7" s="263" t="s">
        <v>69</v>
      </c>
      <c r="D7" s="263"/>
      <c r="E7" s="263"/>
      <c r="F7" s="263"/>
      <c r="G7" s="263"/>
      <c r="H7" s="263"/>
      <c r="I7" s="263"/>
      <c r="J7" s="147"/>
      <c r="K7" s="152"/>
      <c r="L7" s="153"/>
      <c r="M7" s="147"/>
    </row>
    <row r="8" spans="1:13" x14ac:dyDescent="0.25">
      <c r="A8" s="147" t="s">
        <v>30</v>
      </c>
      <c r="B8" s="148">
        <v>45263</v>
      </c>
      <c r="C8" s="264" t="s">
        <v>30</v>
      </c>
      <c r="D8" s="265"/>
      <c r="E8" s="265"/>
      <c r="F8" s="265"/>
      <c r="G8" s="265"/>
      <c r="H8" s="265"/>
      <c r="I8" s="266"/>
      <c r="J8" s="147"/>
      <c r="K8" s="152"/>
      <c r="L8" s="153"/>
      <c r="M8" s="147"/>
    </row>
    <row r="9" spans="1:13" x14ac:dyDescent="0.25">
      <c r="A9" s="135" t="s">
        <v>64</v>
      </c>
      <c r="B9" s="136">
        <v>45264</v>
      </c>
      <c r="C9" s="194" t="s">
        <v>619</v>
      </c>
      <c r="D9" s="194"/>
      <c r="E9" s="194"/>
      <c r="F9" s="194"/>
      <c r="G9" s="194"/>
      <c r="H9" s="194"/>
      <c r="I9" s="194"/>
      <c r="J9" s="51"/>
      <c r="K9" s="21">
        <v>65.381944444444443</v>
      </c>
      <c r="L9" s="21">
        <v>96.694444444444443</v>
      </c>
      <c r="M9" s="21">
        <f>L9-K9</f>
        <v>31.3125</v>
      </c>
    </row>
    <row r="10" spans="1:13" x14ac:dyDescent="0.25">
      <c r="A10" s="135" t="s">
        <v>65</v>
      </c>
      <c r="B10" s="136">
        <v>45265</v>
      </c>
      <c r="C10" s="196" t="s">
        <v>620</v>
      </c>
      <c r="D10" s="196"/>
      <c r="E10" s="196"/>
      <c r="F10" s="196"/>
      <c r="G10" s="196"/>
      <c r="H10" s="196"/>
      <c r="I10" s="196"/>
      <c r="J10" s="51"/>
      <c r="K10" s="21">
        <v>65.399305555555557</v>
      </c>
      <c r="L10" s="21">
        <v>96.791666666666671</v>
      </c>
      <c r="M10" s="21">
        <f>L10-K10</f>
        <v>31.392361111111114</v>
      </c>
    </row>
    <row r="11" spans="1:13" x14ac:dyDescent="0.25">
      <c r="A11" s="135" t="s">
        <v>96</v>
      </c>
      <c r="B11" s="136">
        <v>45266</v>
      </c>
      <c r="C11" s="196" t="s">
        <v>621</v>
      </c>
      <c r="D11" s="196"/>
      <c r="E11" s="196"/>
      <c r="F11" s="196"/>
      <c r="G11" s="196"/>
      <c r="H11" s="196"/>
      <c r="I11" s="196"/>
      <c r="J11" s="51"/>
      <c r="K11" s="21">
        <v>65.388888888888886</v>
      </c>
      <c r="L11" s="21">
        <v>96.729166666666671</v>
      </c>
      <c r="M11" s="21">
        <f t="shared" si="0"/>
        <v>31.340277777777786</v>
      </c>
    </row>
    <row r="12" spans="1:13" x14ac:dyDescent="0.25">
      <c r="A12" s="135" t="s">
        <v>67</v>
      </c>
      <c r="B12" s="136">
        <v>45267</v>
      </c>
      <c r="C12" s="194" t="s">
        <v>623</v>
      </c>
      <c r="D12" s="194"/>
      <c r="E12" s="194"/>
      <c r="F12" s="194"/>
      <c r="G12" s="194"/>
      <c r="H12" s="194"/>
      <c r="I12" s="194"/>
      <c r="J12" s="51"/>
      <c r="K12" s="21">
        <v>65.395833333333329</v>
      </c>
      <c r="L12" s="21">
        <v>96.666666666666671</v>
      </c>
      <c r="M12" s="21">
        <f t="shared" si="0"/>
        <v>31.270833333333343</v>
      </c>
    </row>
    <row r="13" spans="1:13" x14ac:dyDescent="0.25">
      <c r="A13" s="135" t="s">
        <v>68</v>
      </c>
      <c r="B13" s="136">
        <v>45268</v>
      </c>
      <c r="C13" s="196" t="s">
        <v>622</v>
      </c>
      <c r="D13" s="196"/>
      <c r="E13" s="196"/>
      <c r="F13" s="196"/>
      <c r="G13" s="196"/>
      <c r="H13" s="196"/>
      <c r="I13" s="196"/>
      <c r="J13" s="135"/>
      <c r="K13" s="21">
        <v>65.385416666666671</v>
      </c>
      <c r="L13" s="21">
        <v>96.770833333333329</v>
      </c>
      <c r="M13" s="21">
        <f t="shared" si="0"/>
        <v>31.385416666666657</v>
      </c>
    </row>
    <row r="14" spans="1:13" x14ac:dyDescent="0.25">
      <c r="A14" s="147" t="s">
        <v>69</v>
      </c>
      <c r="B14" s="148">
        <v>45269</v>
      </c>
      <c r="C14" s="263" t="s">
        <v>69</v>
      </c>
      <c r="D14" s="263"/>
      <c r="E14" s="263"/>
      <c r="F14" s="263"/>
      <c r="G14" s="263"/>
      <c r="H14" s="263"/>
      <c r="I14" s="263"/>
      <c r="J14" s="147"/>
      <c r="K14" s="150"/>
      <c r="L14" s="150"/>
      <c r="M14" s="150"/>
    </row>
    <row r="15" spans="1:13" x14ac:dyDescent="0.25">
      <c r="A15" s="147" t="s">
        <v>30</v>
      </c>
      <c r="B15" s="148">
        <v>45270</v>
      </c>
      <c r="C15" s="264" t="s">
        <v>30</v>
      </c>
      <c r="D15" s="265"/>
      <c r="E15" s="265"/>
      <c r="F15" s="265"/>
      <c r="G15" s="265"/>
      <c r="H15" s="265"/>
      <c r="I15" s="266"/>
      <c r="J15" s="147"/>
      <c r="K15" s="150"/>
      <c r="L15" s="150"/>
      <c r="M15" s="150"/>
    </row>
    <row r="16" spans="1:13" x14ac:dyDescent="0.25">
      <c r="A16" s="135" t="s">
        <v>64</v>
      </c>
      <c r="B16" s="136">
        <v>45271</v>
      </c>
      <c r="C16" s="194" t="s">
        <v>628</v>
      </c>
      <c r="D16" s="194"/>
      <c r="E16" s="194"/>
      <c r="F16" s="194"/>
      <c r="G16" s="194"/>
      <c r="H16" s="194"/>
      <c r="I16" s="194"/>
      <c r="J16" s="51"/>
      <c r="K16" s="21">
        <v>65.399305555555557</v>
      </c>
      <c r="L16" s="21">
        <v>96.760416666666671</v>
      </c>
      <c r="M16" s="21">
        <f t="shared" si="0"/>
        <v>31.361111111111114</v>
      </c>
    </row>
    <row r="17" spans="1:13" x14ac:dyDescent="0.25">
      <c r="A17" s="135" t="s">
        <v>65</v>
      </c>
      <c r="B17" s="136">
        <v>45272</v>
      </c>
      <c r="C17" s="196" t="s">
        <v>627</v>
      </c>
      <c r="D17" s="196"/>
      <c r="E17" s="196"/>
      <c r="F17" s="196"/>
      <c r="G17" s="196"/>
      <c r="H17" s="196"/>
      <c r="I17" s="196"/>
      <c r="J17" s="51"/>
      <c r="K17" s="21">
        <v>65.399305555555557</v>
      </c>
      <c r="L17" s="21">
        <v>96.774305555555557</v>
      </c>
      <c r="M17" s="21">
        <f t="shared" si="0"/>
        <v>31.375</v>
      </c>
    </row>
    <row r="18" spans="1:13" x14ac:dyDescent="0.25">
      <c r="A18" s="135" t="s">
        <v>96</v>
      </c>
      <c r="B18" s="136">
        <v>45273</v>
      </c>
      <c r="C18" s="259" t="s">
        <v>626</v>
      </c>
      <c r="D18" s="259"/>
      <c r="E18" s="259"/>
      <c r="F18" s="259"/>
      <c r="G18" s="259"/>
      <c r="H18" s="259"/>
      <c r="I18" s="259"/>
      <c r="J18" s="135"/>
      <c r="K18" s="21">
        <v>65.40625</v>
      </c>
      <c r="L18" s="21">
        <v>96.625</v>
      </c>
      <c r="M18" s="21">
        <f t="shared" si="0"/>
        <v>31.21875</v>
      </c>
    </row>
    <row r="19" spans="1:13" x14ac:dyDescent="0.25">
      <c r="A19" s="135" t="s">
        <v>67</v>
      </c>
      <c r="B19" s="136">
        <v>45274</v>
      </c>
      <c r="C19" s="196" t="s">
        <v>625</v>
      </c>
      <c r="D19" s="196"/>
      <c r="E19" s="196"/>
      <c r="F19" s="196"/>
      <c r="G19" s="196"/>
      <c r="H19" s="196"/>
      <c r="I19" s="196"/>
      <c r="J19" s="135"/>
      <c r="K19" s="21">
        <v>65.413194444444443</v>
      </c>
      <c r="L19" s="21">
        <v>96.746527777777771</v>
      </c>
      <c r="M19" s="21">
        <f t="shared" si="0"/>
        <v>31.333333333333329</v>
      </c>
    </row>
    <row r="20" spans="1:13" x14ac:dyDescent="0.25">
      <c r="A20" s="135" t="s">
        <v>68</v>
      </c>
      <c r="B20" s="136">
        <v>45275</v>
      </c>
      <c r="C20" s="196" t="s">
        <v>624</v>
      </c>
      <c r="D20" s="196"/>
      <c r="E20" s="196"/>
      <c r="F20" s="196"/>
      <c r="G20" s="196"/>
      <c r="H20" s="196"/>
      <c r="I20" s="196"/>
      <c r="J20" s="135"/>
      <c r="K20" s="21">
        <v>65.40625</v>
      </c>
      <c r="L20" s="21">
        <v>96.895833333333329</v>
      </c>
      <c r="M20" s="21">
        <f t="shared" si="0"/>
        <v>31.489583333333329</v>
      </c>
    </row>
    <row r="21" spans="1:13" x14ac:dyDescent="0.25">
      <c r="A21" s="147" t="s">
        <v>69</v>
      </c>
      <c r="B21" s="148">
        <v>45276</v>
      </c>
      <c r="C21" s="263" t="s">
        <v>69</v>
      </c>
      <c r="D21" s="263"/>
      <c r="E21" s="263"/>
      <c r="F21" s="263"/>
      <c r="G21" s="263"/>
      <c r="H21" s="263"/>
      <c r="I21" s="263"/>
      <c r="J21" s="147"/>
      <c r="K21" s="150"/>
      <c r="L21" s="150"/>
      <c r="M21" s="150"/>
    </row>
    <row r="22" spans="1:13" x14ac:dyDescent="0.25">
      <c r="A22" s="147" t="s">
        <v>30</v>
      </c>
      <c r="B22" s="148">
        <v>45277</v>
      </c>
      <c r="C22" s="264" t="s">
        <v>30</v>
      </c>
      <c r="D22" s="265"/>
      <c r="E22" s="265"/>
      <c r="F22" s="265"/>
      <c r="G22" s="265"/>
      <c r="H22" s="265"/>
      <c r="I22" s="266"/>
      <c r="J22" s="147"/>
      <c r="K22" s="150"/>
      <c r="L22" s="150"/>
      <c r="M22" s="150"/>
    </row>
    <row r="23" spans="1:13" x14ac:dyDescent="0.25">
      <c r="A23" s="135" t="s">
        <v>64</v>
      </c>
      <c r="B23" s="136">
        <v>45278</v>
      </c>
      <c r="C23" s="194" t="s">
        <v>630</v>
      </c>
      <c r="D23" s="194"/>
      <c r="E23" s="194"/>
      <c r="F23" s="194"/>
      <c r="G23" s="194"/>
      <c r="H23" s="194"/>
      <c r="I23" s="194"/>
      <c r="J23" s="146"/>
      <c r="K23" s="21">
        <v>65.396527777777777</v>
      </c>
      <c r="L23" s="21">
        <v>96.6875</v>
      </c>
      <c r="M23" s="21">
        <f t="shared" si="0"/>
        <v>31.290972222222223</v>
      </c>
    </row>
    <row r="24" spans="1:13" x14ac:dyDescent="0.25">
      <c r="A24" s="135" t="s">
        <v>65</v>
      </c>
      <c r="B24" s="136">
        <v>45279</v>
      </c>
      <c r="C24" s="194" t="s">
        <v>634</v>
      </c>
      <c r="D24" s="194"/>
      <c r="E24" s="194"/>
      <c r="F24" s="194"/>
      <c r="G24" s="194"/>
      <c r="H24" s="194"/>
      <c r="I24" s="194"/>
      <c r="J24" s="146"/>
      <c r="K24" s="21">
        <v>65.430555555555557</v>
      </c>
      <c r="L24" s="21">
        <v>96.774305555555557</v>
      </c>
      <c r="M24" s="21">
        <f t="shared" si="0"/>
        <v>31.34375</v>
      </c>
    </row>
    <row r="25" spans="1:13" x14ac:dyDescent="0.25">
      <c r="A25" s="135" t="s">
        <v>96</v>
      </c>
      <c r="B25" s="136">
        <v>45280</v>
      </c>
      <c r="C25" s="236" t="s">
        <v>635</v>
      </c>
      <c r="D25" s="237"/>
      <c r="E25" s="237"/>
      <c r="F25" s="237"/>
      <c r="G25" s="237"/>
      <c r="H25" s="237"/>
      <c r="I25" s="238"/>
      <c r="J25" s="146"/>
      <c r="K25" s="21">
        <v>65.489583333333329</v>
      </c>
      <c r="L25" s="21">
        <v>65.951388888888886</v>
      </c>
      <c r="M25" s="21">
        <f t="shared" si="0"/>
        <v>0.46180555555555713</v>
      </c>
    </row>
    <row r="26" spans="1:13" x14ac:dyDescent="0.25">
      <c r="A26" s="135" t="s">
        <v>67</v>
      </c>
      <c r="B26" s="136">
        <v>45281</v>
      </c>
      <c r="C26" s="195" t="s">
        <v>633</v>
      </c>
      <c r="D26" s="195"/>
      <c r="E26" s="195"/>
      <c r="F26" s="195"/>
      <c r="G26" s="195"/>
      <c r="H26" s="195"/>
      <c r="I26" s="195"/>
      <c r="J26" s="146"/>
      <c r="K26" s="21">
        <v>65.40625</v>
      </c>
      <c r="L26" s="21">
        <v>65.670138888888886</v>
      </c>
      <c r="M26" s="21">
        <f t="shared" si="0"/>
        <v>0.26388888888888573</v>
      </c>
    </row>
    <row r="27" spans="1:13" x14ac:dyDescent="0.25">
      <c r="A27" s="135" t="s">
        <v>68</v>
      </c>
      <c r="B27" s="136">
        <v>45282</v>
      </c>
      <c r="C27" s="195" t="s">
        <v>632</v>
      </c>
      <c r="D27" s="195"/>
      <c r="E27" s="195"/>
      <c r="F27" s="195"/>
      <c r="G27" s="195"/>
      <c r="H27" s="195"/>
      <c r="I27" s="195"/>
      <c r="J27" s="135"/>
      <c r="K27" s="21">
        <v>65.583333333333329</v>
      </c>
      <c r="L27" s="21">
        <v>96.75</v>
      </c>
      <c r="M27" s="21">
        <f t="shared" si="0"/>
        <v>31.166666666666671</v>
      </c>
    </row>
    <row r="28" spans="1:13" x14ac:dyDescent="0.25">
      <c r="A28" s="147" t="s">
        <v>69</v>
      </c>
      <c r="B28" s="148">
        <v>45283</v>
      </c>
      <c r="C28" s="263" t="s">
        <v>69</v>
      </c>
      <c r="D28" s="263"/>
      <c r="E28" s="263"/>
      <c r="F28" s="263"/>
      <c r="G28" s="263"/>
      <c r="H28" s="263"/>
      <c r="I28" s="263"/>
      <c r="J28" s="147"/>
      <c r="K28" s="150"/>
      <c r="L28" s="150"/>
      <c r="M28" s="150"/>
    </row>
    <row r="29" spans="1:13" x14ac:dyDescent="0.25">
      <c r="A29" s="147" t="s">
        <v>30</v>
      </c>
      <c r="B29" s="148">
        <v>45284</v>
      </c>
      <c r="C29" s="264" t="s">
        <v>30</v>
      </c>
      <c r="D29" s="265"/>
      <c r="E29" s="265"/>
      <c r="F29" s="265"/>
      <c r="G29" s="265"/>
      <c r="H29" s="265"/>
      <c r="I29" s="266"/>
      <c r="J29" s="147"/>
      <c r="K29" s="150"/>
      <c r="L29" s="150"/>
      <c r="M29" s="150"/>
    </row>
    <row r="30" spans="1:13" x14ac:dyDescent="0.25">
      <c r="A30" s="147" t="s">
        <v>64</v>
      </c>
      <c r="B30" s="148">
        <v>45285</v>
      </c>
      <c r="C30" s="264" t="s">
        <v>631</v>
      </c>
      <c r="D30" s="265"/>
      <c r="E30" s="265"/>
      <c r="F30" s="265"/>
      <c r="G30" s="265"/>
      <c r="H30" s="265"/>
      <c r="I30" s="266"/>
      <c r="J30" s="147"/>
      <c r="K30" s="150"/>
      <c r="L30" s="150"/>
      <c r="M30" s="150">
        <f t="shared" si="0"/>
        <v>0</v>
      </c>
    </row>
    <row r="31" spans="1:13" x14ac:dyDescent="0.25">
      <c r="A31" s="135" t="s">
        <v>65</v>
      </c>
      <c r="B31" s="136">
        <v>45286</v>
      </c>
      <c r="C31" s="196" t="s">
        <v>637</v>
      </c>
      <c r="D31" s="196"/>
      <c r="E31" s="196"/>
      <c r="F31" s="196"/>
      <c r="G31" s="196"/>
      <c r="H31" s="196"/>
      <c r="I31" s="196"/>
      <c r="J31" s="135"/>
      <c r="K31" s="21">
        <v>65.375</v>
      </c>
      <c r="L31" s="21">
        <v>96.825000000000003</v>
      </c>
      <c r="M31" s="21">
        <f t="shared" si="0"/>
        <v>31.450000000000003</v>
      </c>
    </row>
    <row r="32" spans="1:13" x14ac:dyDescent="0.25">
      <c r="A32" s="135" t="s">
        <v>96</v>
      </c>
      <c r="B32" s="136">
        <v>45287</v>
      </c>
      <c r="C32" s="194" t="s">
        <v>636</v>
      </c>
      <c r="D32" s="194"/>
      <c r="E32" s="194"/>
      <c r="F32" s="194"/>
      <c r="G32" s="194"/>
      <c r="H32" s="194"/>
      <c r="I32" s="194"/>
      <c r="J32" s="135"/>
      <c r="K32" s="21">
        <v>65.371527777777771</v>
      </c>
      <c r="L32" s="21">
        <v>96.78125</v>
      </c>
      <c r="M32" s="21">
        <f t="shared" si="0"/>
        <v>31.409722222222229</v>
      </c>
    </row>
    <row r="33" spans="1:13" x14ac:dyDescent="0.25">
      <c r="A33" s="135" t="s">
        <v>67</v>
      </c>
      <c r="B33" s="136">
        <v>45288</v>
      </c>
      <c r="C33" s="194" t="s">
        <v>638</v>
      </c>
      <c r="D33" s="270"/>
      <c r="E33" s="270"/>
      <c r="F33" s="270"/>
      <c r="G33" s="270"/>
      <c r="H33" s="270"/>
      <c r="I33" s="270"/>
      <c r="J33" s="135"/>
      <c r="K33" s="21">
        <v>65.391666666666666</v>
      </c>
      <c r="L33" s="21">
        <v>96.770833333333329</v>
      </c>
      <c r="M33" s="21">
        <f t="shared" si="0"/>
        <v>31.379166666666663</v>
      </c>
    </row>
    <row r="34" spans="1:13" x14ac:dyDescent="0.25">
      <c r="A34" s="135" t="s">
        <v>68</v>
      </c>
      <c r="B34" s="136">
        <v>45289</v>
      </c>
      <c r="C34" s="195" t="s">
        <v>639</v>
      </c>
      <c r="D34" s="195"/>
      <c r="E34" s="195"/>
      <c r="F34" s="195"/>
      <c r="G34" s="195"/>
      <c r="H34" s="195"/>
      <c r="I34" s="195"/>
      <c r="J34" s="135"/>
      <c r="K34" s="21">
        <v>65.4375</v>
      </c>
      <c r="L34" s="21">
        <v>96.895833333333329</v>
      </c>
      <c r="M34" s="21">
        <f t="shared" si="0"/>
        <v>31.458333333333329</v>
      </c>
    </row>
    <row r="35" spans="1:13" x14ac:dyDescent="0.25">
      <c r="A35" s="147" t="s">
        <v>69</v>
      </c>
      <c r="B35" s="148">
        <v>45290</v>
      </c>
      <c r="C35" s="271"/>
      <c r="D35" s="271"/>
      <c r="E35" s="271"/>
      <c r="F35" s="271"/>
      <c r="G35" s="271"/>
      <c r="H35" s="271"/>
      <c r="I35" s="271"/>
      <c r="J35" s="147"/>
      <c r="K35" s="150"/>
      <c r="L35" s="150"/>
      <c r="M35" s="150"/>
    </row>
    <row r="36" spans="1:13" x14ac:dyDescent="0.25">
      <c r="A36" s="147" t="s">
        <v>30</v>
      </c>
      <c r="B36" s="148">
        <v>45291</v>
      </c>
      <c r="C36" s="267"/>
      <c r="D36" s="268"/>
      <c r="E36" s="268"/>
      <c r="F36" s="268"/>
      <c r="G36" s="268"/>
      <c r="H36" s="268"/>
      <c r="I36" s="269"/>
      <c r="J36" s="147"/>
      <c r="K36" s="150"/>
      <c r="L36" s="150"/>
      <c r="M36" s="150"/>
    </row>
    <row r="1048573" spans="11:12" x14ac:dyDescent="0.25">
      <c r="K1048573" s="21"/>
      <c r="L1048573" s="21"/>
    </row>
  </sheetData>
  <mergeCells count="38">
    <mergeCell ref="C36:I36"/>
    <mergeCell ref="C30:I30"/>
    <mergeCell ref="C31:I31"/>
    <mergeCell ref="C32:I32"/>
    <mergeCell ref="C33:I33"/>
    <mergeCell ref="C34:I34"/>
    <mergeCell ref="C35:I35"/>
    <mergeCell ref="C29:I29"/>
    <mergeCell ref="C18:I18"/>
    <mergeCell ref="C19:I19"/>
    <mergeCell ref="C20:I20"/>
    <mergeCell ref="C21:I21"/>
    <mergeCell ref="C22:I22"/>
    <mergeCell ref="C23:I23"/>
    <mergeCell ref="C24:I24"/>
    <mergeCell ref="C26:I26"/>
    <mergeCell ref="C27:I27"/>
    <mergeCell ref="C28:I28"/>
    <mergeCell ref="C25:I25"/>
    <mergeCell ref="C17:I17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A1:A5"/>
    <mergeCell ref="B1:M1"/>
    <mergeCell ref="C2:E2"/>
    <mergeCell ref="G2:M2"/>
    <mergeCell ref="C3:E3"/>
    <mergeCell ref="G3:M3"/>
    <mergeCell ref="C5:J5"/>
  </mergeCells>
  <phoneticPr fontId="6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A65D-66BB-4029-B674-E1183A1687ED}">
  <dimension ref="A1:M1048573"/>
  <sheetViews>
    <sheetView topLeftCell="A7" zoomScaleNormal="100" workbookViewId="0">
      <selection activeCell="K35" sqref="K35"/>
    </sheetView>
  </sheetViews>
  <sheetFormatPr defaultColWidth="9.140625" defaultRowHeight="15" x14ac:dyDescent="0.25"/>
  <cols>
    <col min="1" max="1" width="11.42578125" style="125" bestFit="1" customWidth="1"/>
    <col min="2" max="2" width="15.7109375" style="125" bestFit="1" customWidth="1"/>
    <col min="3" max="4" width="9.140625" style="125"/>
    <col min="5" max="5" width="23.85546875" style="125" customWidth="1"/>
    <col min="6" max="6" width="54.140625" style="125" customWidth="1"/>
    <col min="7" max="8" width="9.140625" style="125"/>
    <col min="9" max="9" width="38" style="125" customWidth="1"/>
    <col min="10" max="10" width="9.140625" style="125"/>
    <col min="11" max="11" width="11.5703125" style="142" bestFit="1" customWidth="1"/>
    <col min="12" max="12" width="9.140625" style="141"/>
    <col min="13" max="13" width="10.28515625" style="125" bestFit="1" customWidth="1"/>
    <col min="14" max="16384" width="9.140625" style="125"/>
  </cols>
  <sheetData>
    <row r="1" spans="1:13" ht="18.75" x14ac:dyDescent="0.3">
      <c r="A1" s="195"/>
      <c r="B1" s="215" t="s">
        <v>0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</row>
    <row r="2" spans="1:13" x14ac:dyDescent="0.25">
      <c r="A2" s="195"/>
      <c r="B2" s="126" t="s">
        <v>1</v>
      </c>
      <c r="C2" s="200" t="s">
        <v>34</v>
      </c>
      <c r="D2" s="200"/>
      <c r="E2" s="200"/>
      <c r="F2" s="126" t="s">
        <v>8</v>
      </c>
      <c r="G2" s="200" t="s">
        <v>35</v>
      </c>
      <c r="H2" s="200"/>
      <c r="I2" s="200"/>
      <c r="J2" s="200"/>
      <c r="K2" s="200"/>
      <c r="L2" s="200"/>
      <c r="M2" s="200"/>
    </row>
    <row r="3" spans="1:13" x14ac:dyDescent="0.25">
      <c r="A3" s="195"/>
      <c r="B3" s="126" t="s">
        <v>2</v>
      </c>
      <c r="C3" s="200" t="s">
        <v>36</v>
      </c>
      <c r="D3" s="200"/>
      <c r="E3" s="200"/>
      <c r="F3" s="126" t="s">
        <v>3</v>
      </c>
      <c r="G3" s="200" t="s">
        <v>13</v>
      </c>
      <c r="H3" s="200"/>
      <c r="I3" s="200"/>
      <c r="J3" s="200"/>
      <c r="K3" s="200"/>
      <c r="L3" s="200"/>
      <c r="M3" s="200"/>
    </row>
    <row r="4" spans="1:13" x14ac:dyDescent="0.25">
      <c r="A4" s="195"/>
      <c r="B4" s="127"/>
      <c r="C4" s="127"/>
      <c r="D4" s="127"/>
      <c r="E4" s="127"/>
      <c r="F4" s="127"/>
      <c r="G4" s="127"/>
      <c r="H4" s="127"/>
      <c r="I4" s="127"/>
      <c r="J4" s="127"/>
      <c r="K4" s="128"/>
      <c r="L4" s="129"/>
      <c r="M4" s="129"/>
    </row>
    <row r="5" spans="1:13" x14ac:dyDescent="0.25">
      <c r="A5" s="195"/>
      <c r="B5" s="130" t="s">
        <v>7</v>
      </c>
      <c r="C5" s="197" t="s">
        <v>4</v>
      </c>
      <c r="D5" s="197"/>
      <c r="E5" s="197"/>
      <c r="F5" s="197"/>
      <c r="G5" s="197"/>
      <c r="H5" s="197"/>
      <c r="I5" s="197"/>
      <c r="J5" s="197"/>
      <c r="K5" s="131" t="s">
        <v>5</v>
      </c>
      <c r="L5" s="132" t="s">
        <v>6</v>
      </c>
      <c r="M5" s="130" t="s">
        <v>491</v>
      </c>
    </row>
    <row r="6" spans="1:13" ht="15" customHeight="1" x14ac:dyDescent="0.25">
      <c r="A6" s="135" t="s">
        <v>96</v>
      </c>
      <c r="B6" s="136">
        <v>45231</v>
      </c>
      <c r="C6" s="194" t="s">
        <v>598</v>
      </c>
      <c r="D6" s="194"/>
      <c r="E6" s="194"/>
      <c r="F6" s="194"/>
      <c r="G6" s="194"/>
      <c r="H6" s="194"/>
      <c r="I6" s="194"/>
      <c r="J6" s="135"/>
      <c r="K6" s="21">
        <v>65.395833333333329</v>
      </c>
      <c r="L6" s="21">
        <v>96.75</v>
      </c>
      <c r="M6" s="21">
        <f t="shared" ref="M6:M34" si="0">L6-K6</f>
        <v>31.354166666666671</v>
      </c>
    </row>
    <row r="7" spans="1:13" ht="48" customHeight="1" x14ac:dyDescent="0.25">
      <c r="A7" s="135" t="s">
        <v>67</v>
      </c>
      <c r="B7" s="136">
        <v>45232</v>
      </c>
      <c r="C7" s="194" t="s">
        <v>599</v>
      </c>
      <c r="D7" s="194"/>
      <c r="E7" s="194"/>
      <c r="F7" s="194"/>
      <c r="G7" s="194"/>
      <c r="H7" s="194"/>
      <c r="I7" s="194"/>
      <c r="J7" s="135"/>
      <c r="K7" s="21">
        <v>65.40625</v>
      </c>
      <c r="L7" s="21">
        <v>96.791666666666671</v>
      </c>
      <c r="M7" s="21">
        <f t="shared" si="0"/>
        <v>31.385416666666671</v>
      </c>
    </row>
    <row r="8" spans="1:13" ht="15" customHeight="1" x14ac:dyDescent="0.25">
      <c r="A8" s="135" t="s">
        <v>68</v>
      </c>
      <c r="B8" s="136">
        <v>45233</v>
      </c>
      <c r="C8" s="196" t="s">
        <v>600</v>
      </c>
      <c r="D8" s="196"/>
      <c r="E8" s="196"/>
      <c r="F8" s="196"/>
      <c r="G8" s="196"/>
      <c r="H8" s="196"/>
      <c r="I8" s="196"/>
      <c r="J8" s="135"/>
      <c r="K8" s="21">
        <v>65.409722222222229</v>
      </c>
      <c r="L8" s="21">
        <v>96.819444444444443</v>
      </c>
      <c r="M8" s="21">
        <f t="shared" si="0"/>
        <v>31.409722222222214</v>
      </c>
    </row>
    <row r="9" spans="1:13" ht="15" customHeight="1" x14ac:dyDescent="0.25">
      <c r="A9" s="147" t="s">
        <v>69</v>
      </c>
      <c r="B9" s="148">
        <v>45234</v>
      </c>
      <c r="C9" s="263" t="s">
        <v>69</v>
      </c>
      <c r="D9" s="263"/>
      <c r="E9" s="263"/>
      <c r="F9" s="263"/>
      <c r="G9" s="263"/>
      <c r="H9" s="263"/>
      <c r="I9" s="263"/>
      <c r="J9" s="149"/>
      <c r="K9" s="150"/>
      <c r="L9" s="150"/>
      <c r="M9" s="150">
        <f t="shared" si="0"/>
        <v>0</v>
      </c>
    </row>
    <row r="10" spans="1:13" x14ac:dyDescent="0.25">
      <c r="A10" s="147" t="s">
        <v>30</v>
      </c>
      <c r="B10" s="148">
        <v>45235</v>
      </c>
      <c r="C10" s="272" t="s">
        <v>30</v>
      </c>
      <c r="D10" s="272"/>
      <c r="E10" s="272"/>
      <c r="F10" s="272"/>
      <c r="G10" s="272"/>
      <c r="H10" s="272"/>
      <c r="I10" s="272"/>
      <c r="J10" s="149"/>
      <c r="K10" s="150"/>
      <c r="L10" s="150"/>
      <c r="M10" s="150">
        <f t="shared" si="0"/>
        <v>0</v>
      </c>
    </row>
    <row r="11" spans="1:13" ht="30.75" customHeight="1" x14ac:dyDescent="0.25">
      <c r="A11" s="135" t="s">
        <v>64</v>
      </c>
      <c r="B11" s="136">
        <v>45236</v>
      </c>
      <c r="C11" s="196" t="s">
        <v>601</v>
      </c>
      <c r="D11" s="196"/>
      <c r="E11" s="196"/>
      <c r="F11" s="196"/>
      <c r="G11" s="196"/>
      <c r="H11" s="196"/>
      <c r="I11" s="196"/>
      <c r="J11" s="51"/>
      <c r="K11" s="21">
        <v>65.399305555555557</v>
      </c>
      <c r="L11" s="21">
        <v>96.770833333333329</v>
      </c>
      <c r="M11" s="21">
        <f t="shared" si="0"/>
        <v>31.371527777777771</v>
      </c>
    </row>
    <row r="12" spans="1:13" ht="15" customHeight="1" x14ac:dyDescent="0.25">
      <c r="A12" s="135" t="s">
        <v>65</v>
      </c>
      <c r="B12" s="136">
        <v>45237</v>
      </c>
      <c r="C12" s="194" t="s">
        <v>602</v>
      </c>
      <c r="D12" s="194"/>
      <c r="E12" s="194"/>
      <c r="F12" s="194"/>
      <c r="G12" s="194"/>
      <c r="H12" s="194"/>
      <c r="I12" s="194"/>
      <c r="J12" s="51"/>
      <c r="K12" s="21">
        <v>65.402777777777771</v>
      </c>
      <c r="L12" s="21">
        <v>96.791666666666671</v>
      </c>
      <c r="M12" s="21">
        <f t="shared" si="0"/>
        <v>31.3888888888889</v>
      </c>
    </row>
    <row r="13" spans="1:13" ht="33.75" customHeight="1" x14ac:dyDescent="0.25">
      <c r="A13" s="135" t="s">
        <v>96</v>
      </c>
      <c r="B13" s="136">
        <v>45238</v>
      </c>
      <c r="C13" s="196" t="s">
        <v>617</v>
      </c>
      <c r="D13" s="196"/>
      <c r="E13" s="196"/>
      <c r="F13" s="196"/>
      <c r="G13" s="196"/>
      <c r="H13" s="196"/>
      <c r="I13" s="196"/>
      <c r="J13" s="135"/>
      <c r="K13" s="21">
        <v>65.395833333333329</v>
      </c>
      <c r="L13" s="21">
        <v>96.829861111111114</v>
      </c>
      <c r="M13" s="21">
        <f t="shared" si="0"/>
        <v>31.434027777777786</v>
      </c>
    </row>
    <row r="14" spans="1:13" x14ac:dyDescent="0.25">
      <c r="A14" s="135" t="s">
        <v>67</v>
      </c>
      <c r="B14" s="136">
        <v>45239</v>
      </c>
      <c r="C14" s="259" t="s">
        <v>603</v>
      </c>
      <c r="D14" s="259"/>
      <c r="E14" s="259"/>
      <c r="F14" s="259"/>
      <c r="G14" s="259"/>
      <c r="H14" s="259"/>
      <c r="I14" s="259"/>
      <c r="J14" s="135"/>
      <c r="K14" s="21">
        <v>65.364583333333329</v>
      </c>
      <c r="L14" s="21">
        <v>96.760416666666671</v>
      </c>
      <c r="M14" s="21">
        <f t="shared" si="0"/>
        <v>31.395833333333343</v>
      </c>
    </row>
    <row r="15" spans="1:13" ht="15" customHeight="1" x14ac:dyDescent="0.25">
      <c r="A15" s="135" t="s">
        <v>68</v>
      </c>
      <c r="B15" s="136">
        <v>45240</v>
      </c>
      <c r="C15" s="259" t="s">
        <v>604</v>
      </c>
      <c r="D15" s="259"/>
      <c r="E15" s="259"/>
      <c r="F15" s="259"/>
      <c r="G15" s="259"/>
      <c r="H15" s="259"/>
      <c r="I15" s="259"/>
      <c r="J15" s="135"/>
      <c r="K15" s="21">
        <v>65.40625</v>
      </c>
      <c r="L15" s="21">
        <v>96.75</v>
      </c>
      <c r="M15" s="21">
        <f t="shared" si="0"/>
        <v>31.34375</v>
      </c>
    </row>
    <row r="16" spans="1:13" x14ac:dyDescent="0.25">
      <c r="A16" s="147" t="s">
        <v>69</v>
      </c>
      <c r="B16" s="148">
        <v>45241</v>
      </c>
      <c r="C16" s="263" t="s">
        <v>69</v>
      </c>
      <c r="D16" s="263"/>
      <c r="E16" s="263"/>
      <c r="F16" s="263"/>
      <c r="G16" s="263"/>
      <c r="H16" s="263"/>
      <c r="I16" s="263"/>
      <c r="J16" s="149"/>
      <c r="K16" s="150"/>
      <c r="L16" s="150"/>
      <c r="M16" s="150">
        <f t="shared" si="0"/>
        <v>0</v>
      </c>
    </row>
    <row r="17" spans="1:13" ht="15" customHeight="1" x14ac:dyDescent="0.25">
      <c r="A17" s="147" t="s">
        <v>30</v>
      </c>
      <c r="B17" s="148">
        <v>45242</v>
      </c>
      <c r="C17" s="272" t="s">
        <v>30</v>
      </c>
      <c r="D17" s="272"/>
      <c r="E17" s="272"/>
      <c r="F17" s="272"/>
      <c r="G17" s="272"/>
      <c r="H17" s="272"/>
      <c r="I17" s="272"/>
      <c r="J17" s="149"/>
      <c r="K17" s="150"/>
      <c r="L17" s="150"/>
      <c r="M17" s="150">
        <f t="shared" si="0"/>
        <v>0</v>
      </c>
    </row>
    <row r="18" spans="1:13" ht="15" customHeight="1" x14ac:dyDescent="0.25">
      <c r="A18" s="135" t="s">
        <v>64</v>
      </c>
      <c r="B18" s="136">
        <v>45243</v>
      </c>
      <c r="C18" s="259" t="s">
        <v>606</v>
      </c>
      <c r="D18" s="259"/>
      <c r="E18" s="259"/>
      <c r="F18" s="259"/>
      <c r="G18" s="259"/>
      <c r="H18" s="259"/>
      <c r="I18" s="259"/>
      <c r="J18" s="135"/>
      <c r="K18" s="21">
        <v>65.399305555555557</v>
      </c>
      <c r="L18" s="21">
        <v>96.75</v>
      </c>
      <c r="M18" s="21">
        <f t="shared" si="0"/>
        <v>31.350694444444443</v>
      </c>
    </row>
    <row r="19" spans="1:13" ht="15" customHeight="1" x14ac:dyDescent="0.25">
      <c r="A19" s="135" t="s">
        <v>65</v>
      </c>
      <c r="B19" s="136">
        <v>45244</v>
      </c>
      <c r="C19" s="196" t="s">
        <v>605</v>
      </c>
      <c r="D19" s="196"/>
      <c r="E19" s="196"/>
      <c r="F19" s="196"/>
      <c r="G19" s="196"/>
      <c r="H19" s="196"/>
      <c r="I19" s="196"/>
      <c r="J19" s="135"/>
      <c r="K19" s="21">
        <v>65.440972222222229</v>
      </c>
      <c r="L19" s="21">
        <v>96.791666666666671</v>
      </c>
      <c r="M19" s="21">
        <f t="shared" si="0"/>
        <v>31.350694444444443</v>
      </c>
    </row>
    <row r="20" spans="1:13" ht="35.25" customHeight="1" x14ac:dyDescent="0.25">
      <c r="A20" s="135" t="s">
        <v>96</v>
      </c>
      <c r="B20" s="136">
        <v>45245</v>
      </c>
      <c r="C20" s="196" t="s">
        <v>607</v>
      </c>
      <c r="D20" s="196"/>
      <c r="E20" s="196"/>
      <c r="F20" s="196"/>
      <c r="G20" s="196"/>
      <c r="H20" s="196"/>
      <c r="I20" s="196"/>
      <c r="J20" s="135"/>
      <c r="K20" s="21">
        <v>65.395833333333329</v>
      </c>
      <c r="L20" s="21">
        <v>96.75</v>
      </c>
      <c r="M20" s="21">
        <f t="shared" si="0"/>
        <v>31.354166666666671</v>
      </c>
    </row>
    <row r="21" spans="1:13" x14ac:dyDescent="0.25">
      <c r="A21" s="135" t="s">
        <v>67</v>
      </c>
      <c r="B21" s="136">
        <v>45246</v>
      </c>
      <c r="C21" s="194" t="s">
        <v>608</v>
      </c>
      <c r="D21" s="194"/>
      <c r="E21" s="194"/>
      <c r="F21" s="194"/>
      <c r="G21" s="194"/>
      <c r="H21" s="194"/>
      <c r="I21" s="194"/>
      <c r="J21" s="135"/>
      <c r="K21" s="21">
        <v>65.40625</v>
      </c>
      <c r="L21" s="21">
        <v>96.697916666666671</v>
      </c>
      <c r="M21" s="21">
        <f>L21-K21</f>
        <v>31.291666666666671</v>
      </c>
    </row>
    <row r="22" spans="1:13" x14ac:dyDescent="0.25">
      <c r="A22" s="135" t="s">
        <v>68</v>
      </c>
      <c r="B22" s="136">
        <v>45247</v>
      </c>
      <c r="C22" s="194" t="s">
        <v>609</v>
      </c>
      <c r="D22" s="194"/>
      <c r="E22" s="194"/>
      <c r="F22" s="194"/>
      <c r="G22" s="194"/>
      <c r="H22" s="194"/>
      <c r="I22" s="194"/>
      <c r="J22" s="135"/>
      <c r="K22" s="21">
        <v>65.40625</v>
      </c>
      <c r="L22" s="21">
        <v>96.784722222222229</v>
      </c>
      <c r="M22" s="21">
        <f>L22-K22</f>
        <v>31.378472222222229</v>
      </c>
    </row>
    <row r="23" spans="1:13" x14ac:dyDescent="0.25">
      <c r="A23" s="147" t="s">
        <v>69</v>
      </c>
      <c r="B23" s="148">
        <v>45248</v>
      </c>
      <c r="C23" s="263" t="s">
        <v>69</v>
      </c>
      <c r="D23" s="263"/>
      <c r="E23" s="263"/>
      <c r="F23" s="263"/>
      <c r="G23" s="263"/>
      <c r="H23" s="263"/>
      <c r="I23" s="263"/>
      <c r="J23" s="151"/>
      <c r="K23" s="150"/>
      <c r="L23" s="150"/>
      <c r="M23" s="150">
        <f t="shared" si="0"/>
        <v>0</v>
      </c>
    </row>
    <row r="24" spans="1:13" x14ac:dyDescent="0.25">
      <c r="A24" s="147" t="s">
        <v>30</v>
      </c>
      <c r="B24" s="148">
        <v>45249</v>
      </c>
      <c r="C24" s="272" t="s">
        <v>30</v>
      </c>
      <c r="D24" s="272"/>
      <c r="E24" s="272"/>
      <c r="F24" s="272"/>
      <c r="G24" s="272"/>
      <c r="H24" s="272"/>
      <c r="I24" s="272"/>
      <c r="J24" s="151"/>
      <c r="K24" s="150"/>
      <c r="L24" s="150"/>
      <c r="M24" s="150">
        <f t="shared" si="0"/>
        <v>0</v>
      </c>
    </row>
    <row r="25" spans="1:13" x14ac:dyDescent="0.25">
      <c r="A25" s="135" t="s">
        <v>64</v>
      </c>
      <c r="B25" s="136">
        <v>45250</v>
      </c>
      <c r="C25" s="194" t="s">
        <v>612</v>
      </c>
      <c r="D25" s="194"/>
      <c r="E25" s="194"/>
      <c r="F25" s="194"/>
      <c r="G25" s="194"/>
      <c r="H25" s="194"/>
      <c r="I25" s="194"/>
      <c r="J25" s="146"/>
      <c r="K25" s="21">
        <v>65.361111111111114</v>
      </c>
      <c r="L25" s="21">
        <v>65.951388888888886</v>
      </c>
      <c r="M25" s="21">
        <f t="shared" si="0"/>
        <v>0.59027777777777146</v>
      </c>
    </row>
    <row r="26" spans="1:13" x14ac:dyDescent="0.25">
      <c r="A26" s="135" t="s">
        <v>65</v>
      </c>
      <c r="B26" s="136">
        <v>45251</v>
      </c>
      <c r="C26" s="195" t="s">
        <v>613</v>
      </c>
      <c r="D26" s="195"/>
      <c r="E26" s="195"/>
      <c r="F26" s="195"/>
      <c r="G26" s="195"/>
      <c r="H26" s="195"/>
      <c r="I26" s="195"/>
      <c r="J26" s="146"/>
      <c r="K26" s="21">
        <v>65.385416666666671</v>
      </c>
      <c r="L26" s="21">
        <v>65.760416666666671</v>
      </c>
      <c r="M26" s="21">
        <f t="shared" si="0"/>
        <v>0.375</v>
      </c>
    </row>
    <row r="27" spans="1:13" ht="15" customHeight="1" x14ac:dyDescent="0.25">
      <c r="A27" s="135" t="s">
        <v>96</v>
      </c>
      <c r="B27" s="136">
        <v>45252</v>
      </c>
      <c r="C27" s="195" t="s">
        <v>613</v>
      </c>
      <c r="D27" s="195"/>
      <c r="E27" s="195"/>
      <c r="F27" s="195"/>
      <c r="G27" s="195"/>
      <c r="H27" s="195"/>
      <c r="I27" s="195"/>
      <c r="J27" s="135"/>
      <c r="K27" s="21">
        <v>65.40625</v>
      </c>
      <c r="L27" s="21">
        <v>96.75</v>
      </c>
      <c r="M27" s="21">
        <f t="shared" si="0"/>
        <v>31.34375</v>
      </c>
    </row>
    <row r="28" spans="1:13" ht="15" customHeight="1" x14ac:dyDescent="0.25">
      <c r="A28" s="135" t="s">
        <v>67</v>
      </c>
      <c r="B28" s="136">
        <v>45253</v>
      </c>
      <c r="C28" s="273" t="s">
        <v>618</v>
      </c>
      <c r="D28" s="273"/>
      <c r="E28" s="273"/>
      <c r="F28" s="273"/>
      <c r="G28" s="273"/>
      <c r="H28" s="273"/>
      <c r="I28" s="273"/>
      <c r="J28" s="135"/>
      <c r="K28" s="21"/>
      <c r="L28" s="21"/>
      <c r="M28" s="21">
        <f t="shared" si="0"/>
        <v>0</v>
      </c>
    </row>
    <row r="29" spans="1:13" ht="15" customHeight="1" x14ac:dyDescent="0.25">
      <c r="A29" s="135" t="s">
        <v>68</v>
      </c>
      <c r="B29" s="136">
        <v>45254</v>
      </c>
      <c r="C29" s="273" t="s">
        <v>618</v>
      </c>
      <c r="D29" s="273"/>
      <c r="E29" s="273"/>
      <c r="F29" s="273"/>
      <c r="G29" s="273"/>
      <c r="H29" s="273"/>
      <c r="I29" s="273"/>
      <c r="J29" s="135"/>
      <c r="K29" s="21"/>
      <c r="L29" s="21"/>
      <c r="M29" s="21">
        <f t="shared" si="0"/>
        <v>0</v>
      </c>
    </row>
    <row r="30" spans="1:13" x14ac:dyDescent="0.25">
      <c r="A30" s="147" t="s">
        <v>69</v>
      </c>
      <c r="B30" s="148">
        <v>45255</v>
      </c>
      <c r="C30" s="263" t="s">
        <v>69</v>
      </c>
      <c r="D30" s="263"/>
      <c r="E30" s="263"/>
      <c r="F30" s="263"/>
      <c r="G30" s="263"/>
      <c r="H30" s="263"/>
      <c r="I30" s="263"/>
      <c r="J30" s="147"/>
      <c r="K30" s="150"/>
      <c r="L30" s="150"/>
      <c r="M30" s="150">
        <f t="shared" si="0"/>
        <v>0</v>
      </c>
    </row>
    <row r="31" spans="1:13" x14ac:dyDescent="0.25">
      <c r="A31" s="147" t="s">
        <v>30</v>
      </c>
      <c r="B31" s="148">
        <v>45256</v>
      </c>
      <c r="C31" s="272" t="s">
        <v>30</v>
      </c>
      <c r="D31" s="272"/>
      <c r="E31" s="272"/>
      <c r="F31" s="272"/>
      <c r="G31" s="272"/>
      <c r="H31" s="272"/>
      <c r="I31" s="272"/>
      <c r="J31" s="147"/>
      <c r="K31" s="150"/>
      <c r="L31" s="150"/>
      <c r="M31" s="150">
        <f t="shared" si="0"/>
        <v>0</v>
      </c>
    </row>
    <row r="32" spans="1:13" x14ac:dyDescent="0.25">
      <c r="A32" s="135" t="s">
        <v>64</v>
      </c>
      <c r="B32" s="136">
        <v>45257</v>
      </c>
      <c r="C32" s="194" t="s">
        <v>610</v>
      </c>
      <c r="D32" s="194"/>
      <c r="E32" s="194"/>
      <c r="F32" s="194"/>
      <c r="G32" s="194"/>
      <c r="H32" s="194"/>
      <c r="I32" s="194"/>
      <c r="J32" s="135"/>
      <c r="K32" s="21">
        <v>65.475694444444443</v>
      </c>
      <c r="L32" s="21">
        <v>96.708333333333329</v>
      </c>
      <c r="M32" s="21">
        <f t="shared" si="0"/>
        <v>31.232638888888886</v>
      </c>
    </row>
    <row r="33" spans="1:13" x14ac:dyDescent="0.25">
      <c r="A33" s="135" t="s">
        <v>65</v>
      </c>
      <c r="B33" s="136">
        <v>45258</v>
      </c>
      <c r="C33" s="194" t="s">
        <v>611</v>
      </c>
      <c r="D33" s="270"/>
      <c r="E33" s="270"/>
      <c r="F33" s="270"/>
      <c r="G33" s="270"/>
      <c r="H33" s="270"/>
      <c r="I33" s="270"/>
      <c r="J33" s="135"/>
      <c r="K33" s="21">
        <v>65.392361111111114</v>
      </c>
      <c r="L33" s="21">
        <v>96.770833333333329</v>
      </c>
      <c r="M33" s="21">
        <f t="shared" si="0"/>
        <v>31.378472222222214</v>
      </c>
    </row>
    <row r="34" spans="1:13" ht="28.5" customHeight="1" x14ac:dyDescent="0.25">
      <c r="A34" s="135" t="s">
        <v>96</v>
      </c>
      <c r="B34" s="136">
        <v>45259</v>
      </c>
      <c r="C34" s="195" t="s">
        <v>614</v>
      </c>
      <c r="D34" s="195"/>
      <c r="E34" s="195"/>
      <c r="F34" s="195"/>
      <c r="G34" s="195"/>
      <c r="H34" s="195"/>
      <c r="I34" s="195"/>
      <c r="J34" s="135"/>
      <c r="K34" s="21">
        <v>65.395833333333329</v>
      </c>
      <c r="L34" s="21">
        <v>96.770833333333329</v>
      </c>
      <c r="M34" s="21">
        <f t="shared" si="0"/>
        <v>31.375</v>
      </c>
    </row>
    <row r="35" spans="1:13" ht="15" customHeight="1" x14ac:dyDescent="0.25">
      <c r="A35" s="135" t="s">
        <v>67</v>
      </c>
      <c r="B35" s="136">
        <v>45260</v>
      </c>
      <c r="C35" s="274" t="s">
        <v>615</v>
      </c>
      <c r="D35" s="274"/>
      <c r="E35" s="274"/>
      <c r="F35" s="274"/>
      <c r="G35" s="274"/>
      <c r="H35" s="274"/>
      <c r="I35" s="274"/>
      <c r="J35" s="135"/>
      <c r="K35" s="21"/>
      <c r="L35" s="21"/>
      <c r="M35" s="21"/>
    </row>
    <row r="36" spans="1:13" x14ac:dyDescent="0.25">
      <c r="A36" s="135"/>
      <c r="B36" s="136"/>
      <c r="C36" s="236"/>
      <c r="D36" s="237"/>
      <c r="E36" s="237"/>
      <c r="F36" s="237"/>
      <c r="G36" s="237"/>
      <c r="H36" s="237"/>
      <c r="I36" s="238"/>
      <c r="J36" s="135"/>
      <c r="K36" s="21"/>
      <c r="L36" s="21"/>
      <c r="M36" s="21"/>
    </row>
    <row r="1048573" spans="11:12" x14ac:dyDescent="0.25">
      <c r="K1048573" s="21"/>
      <c r="L1048573" s="21"/>
    </row>
  </sheetData>
  <mergeCells count="38">
    <mergeCell ref="C36:I36"/>
    <mergeCell ref="C30:I30"/>
    <mergeCell ref="C31:I31"/>
    <mergeCell ref="C32:I32"/>
    <mergeCell ref="C33:I33"/>
    <mergeCell ref="C34:I34"/>
    <mergeCell ref="C35:I35"/>
    <mergeCell ref="C29:I29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17:I17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A1:A5"/>
    <mergeCell ref="B1:M1"/>
    <mergeCell ref="C2:E2"/>
    <mergeCell ref="G2:M2"/>
    <mergeCell ref="C3:E3"/>
    <mergeCell ref="G3:M3"/>
    <mergeCell ref="C5:J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8BF7-297C-4712-92AF-901D94AE9274}">
  <dimension ref="A1:M1048573"/>
  <sheetViews>
    <sheetView topLeftCell="A8" zoomScaleNormal="100" workbookViewId="0">
      <selection activeCell="C36" sqref="C36:I36"/>
    </sheetView>
  </sheetViews>
  <sheetFormatPr defaultColWidth="9.140625" defaultRowHeight="15" x14ac:dyDescent="0.25"/>
  <cols>
    <col min="1" max="1" width="11.42578125" style="125" bestFit="1" customWidth="1"/>
    <col min="2" max="2" width="15.7109375" style="125" bestFit="1" customWidth="1"/>
    <col min="3" max="4" width="9.140625" style="125"/>
    <col min="5" max="5" width="23.85546875" style="125" customWidth="1"/>
    <col min="6" max="6" width="54.140625" style="125" customWidth="1"/>
    <col min="7" max="8" width="9.140625" style="125"/>
    <col min="9" max="9" width="38" style="125" customWidth="1"/>
    <col min="10" max="10" width="9.140625" style="125"/>
    <col min="11" max="11" width="11.5703125" style="142" bestFit="1" customWidth="1"/>
    <col min="12" max="12" width="9.140625" style="141"/>
    <col min="13" max="13" width="10.28515625" style="125" bestFit="1" customWidth="1"/>
    <col min="14" max="16384" width="9.140625" style="125"/>
  </cols>
  <sheetData>
    <row r="1" spans="1:13" ht="18.75" x14ac:dyDescent="0.3">
      <c r="A1" s="195"/>
      <c r="B1" s="215" t="s">
        <v>0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</row>
    <row r="2" spans="1:13" x14ac:dyDescent="0.25">
      <c r="A2" s="195"/>
      <c r="B2" s="126" t="s">
        <v>1</v>
      </c>
      <c r="C2" s="200" t="s">
        <v>34</v>
      </c>
      <c r="D2" s="200"/>
      <c r="E2" s="200"/>
      <c r="F2" s="126" t="s">
        <v>8</v>
      </c>
      <c r="G2" s="200" t="s">
        <v>35</v>
      </c>
      <c r="H2" s="200"/>
      <c r="I2" s="200"/>
      <c r="J2" s="200"/>
      <c r="K2" s="200"/>
      <c r="L2" s="200"/>
      <c r="M2" s="200"/>
    </row>
    <row r="3" spans="1:13" x14ac:dyDescent="0.25">
      <c r="A3" s="195"/>
      <c r="B3" s="126" t="s">
        <v>2</v>
      </c>
      <c r="C3" s="200" t="s">
        <v>36</v>
      </c>
      <c r="D3" s="200"/>
      <c r="E3" s="200"/>
      <c r="F3" s="126" t="s">
        <v>3</v>
      </c>
      <c r="G3" s="200" t="s">
        <v>13</v>
      </c>
      <c r="H3" s="200"/>
      <c r="I3" s="200"/>
      <c r="J3" s="200"/>
      <c r="K3" s="200"/>
      <c r="L3" s="200"/>
      <c r="M3" s="200"/>
    </row>
    <row r="4" spans="1:13" x14ac:dyDescent="0.25">
      <c r="A4" s="195"/>
      <c r="B4" s="127"/>
      <c r="C4" s="127"/>
      <c r="D4" s="127"/>
      <c r="E4" s="127"/>
      <c r="F4" s="127"/>
      <c r="G4" s="127"/>
      <c r="H4" s="127"/>
      <c r="I4" s="127"/>
      <c r="J4" s="127"/>
      <c r="K4" s="128"/>
      <c r="L4" s="129"/>
      <c r="M4" s="129"/>
    </row>
    <row r="5" spans="1:13" x14ac:dyDescent="0.25">
      <c r="A5" s="195"/>
      <c r="B5" s="130" t="s">
        <v>7</v>
      </c>
      <c r="C5" s="197" t="s">
        <v>4</v>
      </c>
      <c r="D5" s="197"/>
      <c r="E5" s="197"/>
      <c r="F5" s="197"/>
      <c r="G5" s="197"/>
      <c r="H5" s="197"/>
      <c r="I5" s="197"/>
      <c r="J5" s="197"/>
      <c r="K5" s="131" t="s">
        <v>5</v>
      </c>
      <c r="L5" s="132" t="s">
        <v>6</v>
      </c>
      <c r="M5" s="130" t="s">
        <v>491</v>
      </c>
    </row>
    <row r="6" spans="1:13" ht="15" customHeight="1" x14ac:dyDescent="0.25">
      <c r="A6" s="133" t="s">
        <v>30</v>
      </c>
      <c r="B6" s="134">
        <v>45200</v>
      </c>
      <c r="C6" s="216"/>
      <c r="D6" s="216"/>
      <c r="E6" s="216"/>
      <c r="F6" s="216"/>
      <c r="G6" s="216"/>
      <c r="H6" s="216"/>
      <c r="I6" s="216"/>
      <c r="J6" s="133"/>
      <c r="K6" s="124"/>
      <c r="L6" s="124"/>
      <c r="M6" s="124"/>
    </row>
    <row r="7" spans="1:13" ht="15" customHeight="1" x14ac:dyDescent="0.25">
      <c r="A7" s="135" t="s">
        <v>64</v>
      </c>
      <c r="B7" s="136">
        <v>45201</v>
      </c>
      <c r="C7" s="194" t="s">
        <v>579</v>
      </c>
      <c r="D7" s="194"/>
      <c r="E7" s="194"/>
      <c r="F7" s="194"/>
      <c r="G7" s="194"/>
      <c r="H7" s="194"/>
      <c r="I7" s="194"/>
      <c r="J7" s="135"/>
      <c r="K7" s="21"/>
      <c r="L7" s="21"/>
      <c r="M7" s="21"/>
    </row>
    <row r="8" spans="1:13" ht="15" customHeight="1" x14ac:dyDescent="0.25">
      <c r="A8" s="135" t="s">
        <v>65</v>
      </c>
      <c r="B8" s="136">
        <v>45202</v>
      </c>
      <c r="C8" s="196" t="s">
        <v>580</v>
      </c>
      <c r="D8" s="196"/>
      <c r="E8" s="196"/>
      <c r="F8" s="196"/>
      <c r="G8" s="196"/>
      <c r="H8" s="196"/>
      <c r="I8" s="196"/>
      <c r="J8" s="135"/>
      <c r="K8" s="21">
        <v>65.4375</v>
      </c>
      <c r="L8" s="21">
        <v>96.8125</v>
      </c>
      <c r="M8" s="21">
        <f t="shared" ref="M8:M36" si="0">L8-K8</f>
        <v>31.375</v>
      </c>
    </row>
    <row r="9" spans="1:13" ht="15" customHeight="1" x14ac:dyDescent="0.25">
      <c r="A9" s="135" t="s">
        <v>96</v>
      </c>
      <c r="B9" s="136">
        <v>45203</v>
      </c>
      <c r="C9" s="194" t="s">
        <v>581</v>
      </c>
      <c r="D9" s="194"/>
      <c r="E9" s="194"/>
      <c r="F9" s="194"/>
      <c r="G9" s="194"/>
      <c r="H9" s="194"/>
      <c r="I9" s="194"/>
      <c r="J9" s="51"/>
      <c r="K9" s="21">
        <v>65.395833333333329</v>
      </c>
      <c r="L9" s="21">
        <v>96.791666666666671</v>
      </c>
      <c r="M9" s="21">
        <f t="shared" si="0"/>
        <v>31.395833333333343</v>
      </c>
    </row>
    <row r="10" spans="1:13" x14ac:dyDescent="0.25">
      <c r="A10" s="135" t="s">
        <v>67</v>
      </c>
      <c r="B10" s="136">
        <v>45204</v>
      </c>
      <c r="C10" s="196" t="s">
        <v>582</v>
      </c>
      <c r="D10" s="196"/>
      <c r="E10" s="196"/>
      <c r="F10" s="196"/>
      <c r="G10" s="196"/>
      <c r="H10" s="196"/>
      <c r="I10" s="196"/>
      <c r="J10" s="51"/>
      <c r="K10" s="21">
        <v>65.395833333333329</v>
      </c>
      <c r="L10" s="21">
        <v>96.791666666666671</v>
      </c>
      <c r="M10" s="21">
        <f t="shared" si="0"/>
        <v>31.395833333333343</v>
      </c>
    </row>
    <row r="11" spans="1:13" x14ac:dyDescent="0.25">
      <c r="A11" s="135" t="s">
        <v>68</v>
      </c>
      <c r="B11" s="136">
        <v>45205</v>
      </c>
      <c r="C11" s="196" t="s">
        <v>583</v>
      </c>
      <c r="D11" s="196"/>
      <c r="E11" s="196"/>
      <c r="F11" s="196"/>
      <c r="G11" s="196"/>
      <c r="H11" s="196"/>
      <c r="I11" s="196"/>
      <c r="J11" s="51"/>
      <c r="K11" s="21">
        <v>65.388888888888886</v>
      </c>
      <c r="L11" s="21">
        <v>96.791666666666671</v>
      </c>
      <c r="M11" s="21">
        <f t="shared" si="0"/>
        <v>31.402777777777786</v>
      </c>
    </row>
    <row r="12" spans="1:13" ht="15" customHeight="1" x14ac:dyDescent="0.25">
      <c r="A12" s="133" t="s">
        <v>69</v>
      </c>
      <c r="B12" s="134">
        <v>45206</v>
      </c>
      <c r="C12" s="216"/>
      <c r="D12" s="216"/>
      <c r="E12" s="216"/>
      <c r="F12" s="216"/>
      <c r="G12" s="216"/>
      <c r="H12" s="216"/>
      <c r="I12" s="216"/>
      <c r="J12" s="137"/>
      <c r="K12" s="124"/>
      <c r="L12" s="124"/>
      <c r="M12" s="124"/>
    </row>
    <row r="13" spans="1:13" x14ac:dyDescent="0.25">
      <c r="A13" s="133" t="s">
        <v>30</v>
      </c>
      <c r="B13" s="134">
        <v>45207</v>
      </c>
      <c r="C13" s="224"/>
      <c r="D13" s="224"/>
      <c r="E13" s="224"/>
      <c r="F13" s="224"/>
      <c r="G13" s="224"/>
      <c r="H13" s="224"/>
      <c r="I13" s="224"/>
      <c r="J13" s="133"/>
      <c r="K13" s="124"/>
      <c r="L13" s="124"/>
      <c r="M13" s="124"/>
    </row>
    <row r="14" spans="1:13" ht="31.5" customHeight="1" x14ac:dyDescent="0.25">
      <c r="A14" s="135" t="s">
        <v>64</v>
      </c>
      <c r="B14" s="136">
        <v>45208</v>
      </c>
      <c r="C14" s="275" t="s">
        <v>584</v>
      </c>
      <c r="D14" s="275"/>
      <c r="E14" s="275"/>
      <c r="F14" s="275"/>
      <c r="G14" s="275"/>
      <c r="H14" s="275"/>
      <c r="I14" s="275"/>
      <c r="J14" s="138"/>
      <c r="K14" s="21">
        <v>65.385416666666671</v>
      </c>
      <c r="L14" s="89">
        <v>96.770833333333329</v>
      </c>
      <c r="M14" s="89">
        <f t="shared" si="0"/>
        <v>31.385416666666657</v>
      </c>
    </row>
    <row r="15" spans="1:13" ht="15" customHeight="1" x14ac:dyDescent="0.25">
      <c r="A15" s="135" t="s">
        <v>65</v>
      </c>
      <c r="B15" s="136">
        <v>45209</v>
      </c>
      <c r="C15" s="275" t="s">
        <v>585</v>
      </c>
      <c r="D15" s="275"/>
      <c r="E15" s="275"/>
      <c r="F15" s="275"/>
      <c r="G15" s="275"/>
      <c r="H15" s="275"/>
      <c r="I15" s="275"/>
      <c r="J15" s="138"/>
      <c r="K15" s="21">
        <v>65.399305555555557</v>
      </c>
      <c r="L15" s="89">
        <v>96.791666666666671</v>
      </c>
      <c r="M15" s="89">
        <f t="shared" si="0"/>
        <v>31.392361111111114</v>
      </c>
    </row>
    <row r="16" spans="1:13" x14ac:dyDescent="0.25">
      <c r="A16" s="135" t="s">
        <v>96</v>
      </c>
      <c r="B16" s="136">
        <v>45210</v>
      </c>
      <c r="C16" s="275" t="s">
        <v>616</v>
      </c>
      <c r="D16" s="275"/>
      <c r="E16" s="275"/>
      <c r="F16" s="275"/>
      <c r="G16" s="275"/>
      <c r="H16" s="275"/>
      <c r="I16" s="275"/>
      <c r="J16" s="92"/>
      <c r="K16" s="89">
        <v>65.416666666666671</v>
      </c>
      <c r="L16" s="89">
        <v>96.78125</v>
      </c>
      <c r="M16" s="89">
        <f t="shared" si="0"/>
        <v>31.364583333333329</v>
      </c>
    </row>
    <row r="17" spans="1:13" ht="15" customHeight="1" x14ac:dyDescent="0.25">
      <c r="A17" s="135" t="s">
        <v>67</v>
      </c>
      <c r="B17" s="136">
        <v>45211</v>
      </c>
      <c r="C17" s="275" t="s">
        <v>586</v>
      </c>
      <c r="D17" s="275"/>
      <c r="E17" s="275"/>
      <c r="F17" s="275"/>
      <c r="G17" s="275"/>
      <c r="H17" s="275"/>
      <c r="I17" s="275"/>
      <c r="J17" s="92"/>
      <c r="K17" s="89">
        <v>65.416666666666671</v>
      </c>
      <c r="L17" s="89">
        <v>96.708333333333329</v>
      </c>
      <c r="M17" s="89">
        <f t="shared" si="0"/>
        <v>31.291666666666657</v>
      </c>
    </row>
    <row r="18" spans="1:13" ht="15" customHeight="1" x14ac:dyDescent="0.25">
      <c r="A18" s="135" t="s">
        <v>68</v>
      </c>
      <c r="B18" s="136">
        <v>45212</v>
      </c>
      <c r="C18" s="275" t="s">
        <v>587</v>
      </c>
      <c r="D18" s="275"/>
      <c r="E18" s="275"/>
      <c r="F18" s="275"/>
      <c r="G18" s="275"/>
      <c r="H18" s="275"/>
      <c r="I18" s="275"/>
      <c r="J18" s="138"/>
      <c r="K18" s="89">
        <v>65.385416666666671</v>
      </c>
      <c r="L18" s="89">
        <v>96.777777777777771</v>
      </c>
      <c r="M18" s="89">
        <f t="shared" si="0"/>
        <v>31.3923611111111</v>
      </c>
    </row>
    <row r="19" spans="1:13" ht="15" customHeight="1" x14ac:dyDescent="0.25">
      <c r="A19" s="133" t="s">
        <v>69</v>
      </c>
      <c r="B19" s="134">
        <v>45213</v>
      </c>
      <c r="C19" s="224"/>
      <c r="D19" s="224"/>
      <c r="E19" s="224"/>
      <c r="F19" s="224"/>
      <c r="G19" s="224"/>
      <c r="H19" s="224"/>
      <c r="I19" s="224"/>
      <c r="J19" s="133"/>
      <c r="K19" s="124"/>
      <c r="L19" s="124"/>
      <c r="M19" s="124"/>
    </row>
    <row r="20" spans="1:13" x14ac:dyDescent="0.25">
      <c r="A20" s="133" t="s">
        <v>30</v>
      </c>
      <c r="B20" s="134">
        <v>45214</v>
      </c>
      <c r="C20" s="224"/>
      <c r="D20" s="224"/>
      <c r="E20" s="224"/>
      <c r="F20" s="224"/>
      <c r="G20" s="224"/>
      <c r="H20" s="224"/>
      <c r="I20" s="224"/>
      <c r="J20" s="133"/>
      <c r="K20" s="124"/>
      <c r="L20" s="124"/>
      <c r="M20" s="124"/>
    </row>
    <row r="21" spans="1:13" x14ac:dyDescent="0.25">
      <c r="A21" s="135" t="s">
        <v>64</v>
      </c>
      <c r="B21" s="136">
        <v>45215</v>
      </c>
      <c r="C21" s="276" t="s">
        <v>588</v>
      </c>
      <c r="D21" s="276"/>
      <c r="E21" s="276"/>
      <c r="F21" s="276"/>
      <c r="G21" s="276"/>
      <c r="H21" s="276"/>
      <c r="I21" s="276"/>
      <c r="J21" s="138"/>
      <c r="K21" s="89">
        <v>65.40625</v>
      </c>
      <c r="L21" s="89">
        <v>96.791666666666671</v>
      </c>
      <c r="M21" s="89">
        <f t="shared" si="0"/>
        <v>31.385416666666671</v>
      </c>
    </row>
    <row r="22" spans="1:13" x14ac:dyDescent="0.25">
      <c r="A22" s="135" t="s">
        <v>65</v>
      </c>
      <c r="B22" s="136">
        <v>45216</v>
      </c>
      <c r="C22" s="276" t="s">
        <v>589</v>
      </c>
      <c r="D22" s="276"/>
      <c r="E22" s="276"/>
      <c r="F22" s="276"/>
      <c r="G22" s="276"/>
      <c r="H22" s="276"/>
      <c r="I22" s="276"/>
      <c r="J22" s="138"/>
      <c r="K22" s="89">
        <v>65.409722222222229</v>
      </c>
      <c r="L22" s="89">
        <v>96.8125</v>
      </c>
      <c r="M22" s="89">
        <f t="shared" si="0"/>
        <v>31.402777777777771</v>
      </c>
    </row>
    <row r="23" spans="1:13" x14ac:dyDescent="0.25">
      <c r="A23" s="135" t="s">
        <v>96</v>
      </c>
      <c r="B23" s="136">
        <v>45217</v>
      </c>
      <c r="C23" s="275" t="s">
        <v>590</v>
      </c>
      <c r="D23" s="275"/>
      <c r="E23" s="275"/>
      <c r="F23" s="275"/>
      <c r="G23" s="275"/>
      <c r="H23" s="275"/>
      <c r="I23" s="275"/>
      <c r="J23" s="139"/>
      <c r="K23" s="21">
        <v>65.385416666666671</v>
      </c>
      <c r="L23" s="21">
        <v>96.854166666666671</v>
      </c>
      <c r="M23" s="89">
        <f t="shared" si="0"/>
        <v>31.46875</v>
      </c>
    </row>
    <row r="24" spans="1:13" ht="31.5" customHeight="1" x14ac:dyDescent="0.25">
      <c r="A24" s="135" t="s">
        <v>67</v>
      </c>
      <c r="B24" s="136">
        <v>45218</v>
      </c>
      <c r="C24" s="275" t="s">
        <v>593</v>
      </c>
      <c r="D24" s="275"/>
      <c r="E24" s="275"/>
      <c r="F24" s="275"/>
      <c r="G24" s="275"/>
      <c r="H24" s="275"/>
      <c r="I24" s="275"/>
      <c r="J24" s="139"/>
      <c r="K24" s="89">
        <v>65.409722222222229</v>
      </c>
      <c r="L24" s="21">
        <v>96.625</v>
      </c>
      <c r="M24" s="89">
        <f t="shared" si="0"/>
        <v>31.215277777777771</v>
      </c>
    </row>
    <row r="25" spans="1:13" x14ac:dyDescent="0.25">
      <c r="A25" s="135" t="s">
        <v>68</v>
      </c>
      <c r="B25" s="136">
        <v>45219</v>
      </c>
      <c r="C25" s="276" t="s">
        <v>595</v>
      </c>
      <c r="D25" s="276"/>
      <c r="E25" s="276"/>
      <c r="F25" s="276"/>
      <c r="G25" s="276"/>
      <c r="H25" s="276"/>
      <c r="I25" s="276"/>
      <c r="J25" s="139"/>
      <c r="K25" s="89">
        <v>65.40625</v>
      </c>
      <c r="L25" s="89">
        <v>96.78125</v>
      </c>
      <c r="M25" s="89">
        <f>L25-K25</f>
        <v>31.375</v>
      </c>
    </row>
    <row r="26" spans="1:13" x14ac:dyDescent="0.25">
      <c r="A26" s="133" t="s">
        <v>69</v>
      </c>
      <c r="B26" s="134">
        <v>45220</v>
      </c>
      <c r="C26" s="217"/>
      <c r="D26" s="217"/>
      <c r="E26" s="217"/>
      <c r="F26" s="217"/>
      <c r="G26" s="217"/>
      <c r="H26" s="217"/>
      <c r="I26" s="217"/>
      <c r="J26" s="140"/>
      <c r="K26" s="124"/>
      <c r="L26" s="124"/>
      <c r="M26" s="124"/>
    </row>
    <row r="27" spans="1:13" ht="15" customHeight="1" x14ac:dyDescent="0.25">
      <c r="A27" s="133" t="s">
        <v>30</v>
      </c>
      <c r="B27" s="134">
        <v>45221</v>
      </c>
      <c r="C27" s="277"/>
      <c r="D27" s="277"/>
      <c r="E27" s="277"/>
      <c r="F27" s="277"/>
      <c r="G27" s="277"/>
      <c r="H27" s="277"/>
      <c r="I27" s="277"/>
      <c r="J27" s="133"/>
      <c r="K27" s="124"/>
      <c r="L27" s="124"/>
      <c r="M27" s="124"/>
    </row>
    <row r="28" spans="1:13" ht="15" customHeight="1" x14ac:dyDescent="0.25">
      <c r="A28" s="135" t="s">
        <v>64</v>
      </c>
      <c r="B28" s="136">
        <v>45222</v>
      </c>
      <c r="C28" s="194" t="s">
        <v>269</v>
      </c>
      <c r="D28" s="194"/>
      <c r="E28" s="194"/>
      <c r="F28" s="194"/>
      <c r="G28" s="194"/>
      <c r="H28" s="194"/>
      <c r="I28" s="194"/>
      <c r="J28" s="138"/>
      <c r="K28" s="89"/>
      <c r="L28" s="89"/>
      <c r="M28" s="89"/>
    </row>
    <row r="29" spans="1:13" ht="15" customHeight="1" x14ac:dyDescent="0.25">
      <c r="A29" s="143" t="s">
        <v>65</v>
      </c>
      <c r="B29" s="144">
        <v>45223</v>
      </c>
      <c r="C29" s="233" t="s">
        <v>594</v>
      </c>
      <c r="D29" s="233"/>
      <c r="E29" s="233"/>
      <c r="F29" s="233"/>
      <c r="G29" s="233"/>
      <c r="H29" s="233"/>
      <c r="I29" s="233"/>
      <c r="J29" s="143"/>
      <c r="K29" s="145">
        <v>65.430555555555557</v>
      </c>
      <c r="L29" s="145">
        <v>96.8125</v>
      </c>
      <c r="M29" s="145">
        <f t="shared" si="0"/>
        <v>31.381944444444443</v>
      </c>
    </row>
    <row r="30" spans="1:13" x14ac:dyDescent="0.25">
      <c r="A30" s="135" t="s">
        <v>96</v>
      </c>
      <c r="B30" s="136">
        <v>45224</v>
      </c>
      <c r="C30" s="194" t="s">
        <v>269</v>
      </c>
      <c r="D30" s="194"/>
      <c r="E30" s="194"/>
      <c r="F30" s="194"/>
      <c r="G30" s="194"/>
      <c r="H30" s="194"/>
      <c r="I30" s="194"/>
      <c r="J30" s="138"/>
      <c r="K30" s="89"/>
      <c r="L30" s="89"/>
      <c r="M30" s="89"/>
    </row>
    <row r="31" spans="1:13" ht="26.25" customHeight="1" x14ac:dyDescent="0.25">
      <c r="A31" s="135" t="s">
        <v>67</v>
      </c>
      <c r="B31" s="136">
        <v>45225</v>
      </c>
      <c r="C31" s="194" t="s">
        <v>592</v>
      </c>
      <c r="D31" s="194"/>
      <c r="E31" s="194"/>
      <c r="F31" s="194"/>
      <c r="G31" s="194"/>
      <c r="H31" s="194"/>
      <c r="I31" s="194"/>
      <c r="J31" s="138"/>
      <c r="K31" s="21">
        <v>65.385416666666671</v>
      </c>
      <c r="L31" s="89">
        <v>96.8125</v>
      </c>
      <c r="M31" s="89">
        <f t="shared" si="0"/>
        <v>31.427083333333329</v>
      </c>
    </row>
    <row r="32" spans="1:13" x14ac:dyDescent="0.25">
      <c r="A32" s="135" t="s">
        <v>68</v>
      </c>
      <c r="B32" s="136">
        <v>45226</v>
      </c>
      <c r="C32" s="194" t="s">
        <v>591</v>
      </c>
      <c r="D32" s="194"/>
      <c r="E32" s="194"/>
      <c r="F32" s="194"/>
      <c r="G32" s="194"/>
      <c r="H32" s="194"/>
      <c r="I32" s="194"/>
      <c r="J32" s="138"/>
      <c r="K32" s="21">
        <v>65.395833333333329</v>
      </c>
      <c r="L32" s="21">
        <v>96.809027777777771</v>
      </c>
      <c r="M32" s="89">
        <f t="shared" si="0"/>
        <v>31.413194444444443</v>
      </c>
    </row>
    <row r="33" spans="1:13" x14ac:dyDescent="0.25">
      <c r="A33" s="133" t="s">
        <v>69</v>
      </c>
      <c r="B33" s="134">
        <v>45227</v>
      </c>
      <c r="C33" s="216"/>
      <c r="D33" s="278"/>
      <c r="E33" s="278"/>
      <c r="F33" s="278"/>
      <c r="G33" s="278"/>
      <c r="H33" s="278"/>
      <c r="I33" s="278"/>
      <c r="J33" s="133"/>
      <c r="K33" s="124"/>
      <c r="L33" s="124"/>
      <c r="M33" s="124"/>
    </row>
    <row r="34" spans="1:13" x14ac:dyDescent="0.25">
      <c r="A34" s="133" t="s">
        <v>30</v>
      </c>
      <c r="B34" s="134">
        <v>45228</v>
      </c>
      <c r="C34" s="217"/>
      <c r="D34" s="217"/>
      <c r="E34" s="217"/>
      <c r="F34" s="217"/>
      <c r="G34" s="217"/>
      <c r="H34" s="217"/>
      <c r="I34" s="217"/>
      <c r="J34" s="133"/>
      <c r="K34" s="124"/>
      <c r="L34" s="124"/>
      <c r="M34" s="124"/>
    </row>
    <row r="35" spans="1:13" x14ac:dyDescent="0.25">
      <c r="A35" s="138" t="s">
        <v>64</v>
      </c>
      <c r="B35" s="136">
        <v>45229</v>
      </c>
      <c r="C35" s="276" t="s">
        <v>596</v>
      </c>
      <c r="D35" s="276"/>
      <c r="E35" s="276"/>
      <c r="F35" s="276"/>
      <c r="G35" s="276"/>
      <c r="H35" s="276"/>
      <c r="I35" s="276"/>
      <c r="J35" s="138"/>
      <c r="K35" s="21">
        <v>65.388888888888886</v>
      </c>
      <c r="L35" s="21">
        <v>96.833333333333329</v>
      </c>
      <c r="M35" s="21">
        <f t="shared" si="0"/>
        <v>31.444444444444443</v>
      </c>
    </row>
    <row r="36" spans="1:13" x14ac:dyDescent="0.25">
      <c r="A36" s="138" t="s">
        <v>65</v>
      </c>
      <c r="B36" s="136">
        <v>45230</v>
      </c>
      <c r="C36" s="236" t="s">
        <v>597</v>
      </c>
      <c r="D36" s="237"/>
      <c r="E36" s="237"/>
      <c r="F36" s="237"/>
      <c r="G36" s="237"/>
      <c r="H36" s="237"/>
      <c r="I36" s="238"/>
      <c r="J36" s="135"/>
      <c r="K36" s="21">
        <v>65.40625</v>
      </c>
      <c r="L36" s="21">
        <v>96.791666666666671</v>
      </c>
      <c r="M36" s="21">
        <f t="shared" si="0"/>
        <v>31.385416666666671</v>
      </c>
    </row>
    <row r="1048573" spans="11:12" x14ac:dyDescent="0.25">
      <c r="K1048573" s="21">
        <v>0.41666666666666669</v>
      </c>
      <c r="L1048573" s="21">
        <v>0.75</v>
      </c>
    </row>
  </sheetData>
  <mergeCells count="38">
    <mergeCell ref="C35:I35"/>
    <mergeCell ref="C29:I29"/>
    <mergeCell ref="C30:I30"/>
    <mergeCell ref="C31:I31"/>
    <mergeCell ref="C32:I32"/>
    <mergeCell ref="C33:I33"/>
    <mergeCell ref="C34:I34"/>
    <mergeCell ref="C13:I13"/>
    <mergeCell ref="C14:I14"/>
    <mergeCell ref="C15:I15"/>
    <mergeCell ref="C28:I28"/>
    <mergeCell ref="C17:I17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36:I36"/>
    <mergeCell ref="A1:A5"/>
    <mergeCell ref="B1:M1"/>
    <mergeCell ref="C2:E2"/>
    <mergeCell ref="G2:M2"/>
    <mergeCell ref="C3:E3"/>
    <mergeCell ref="G3:M3"/>
    <mergeCell ref="C5:J5"/>
    <mergeCell ref="C16:I16"/>
    <mergeCell ref="C6:I6"/>
    <mergeCell ref="C7:I7"/>
    <mergeCell ref="C8:I8"/>
    <mergeCell ref="C9:I9"/>
    <mergeCell ref="C10:I10"/>
    <mergeCell ref="C11:I11"/>
    <mergeCell ref="C12:I12"/>
  </mergeCells>
  <phoneticPr fontId="6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9C32-7E04-4E0B-B8FA-7CEDB48E4E56}">
  <dimension ref="A1:M1048574"/>
  <sheetViews>
    <sheetView zoomScaleNormal="100" workbookViewId="0">
      <selection activeCell="C36" sqref="C36:I36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5" max="5" width="23.85546875" customWidth="1"/>
    <col min="6" max="6" width="54.140625" customWidth="1"/>
    <col min="9" max="9" width="38" customWidth="1"/>
    <col min="11" max="11" width="11.5703125" style="102" bestFit="1" customWidth="1"/>
    <col min="12" max="12" width="9.140625" style="23"/>
    <col min="13" max="13" width="10.28515625" bestFit="1" customWidth="1"/>
  </cols>
  <sheetData>
    <row r="1" spans="1:13" ht="18.75" x14ac:dyDescent="0.3">
      <c r="A1" s="280"/>
      <c r="B1" s="285" t="s">
        <v>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x14ac:dyDescent="0.25">
      <c r="A2" s="280"/>
      <c r="B2" s="79" t="s">
        <v>1</v>
      </c>
      <c r="C2" s="286" t="s">
        <v>34</v>
      </c>
      <c r="D2" s="286"/>
      <c r="E2" s="286"/>
      <c r="F2" s="79" t="s">
        <v>8</v>
      </c>
      <c r="G2" s="286" t="s">
        <v>35</v>
      </c>
      <c r="H2" s="286"/>
      <c r="I2" s="286"/>
      <c r="J2" s="286"/>
      <c r="K2" s="286"/>
      <c r="L2" s="286"/>
      <c r="M2" s="286"/>
    </row>
    <row r="3" spans="1:13" x14ac:dyDescent="0.25">
      <c r="A3" s="280"/>
      <c r="B3" s="79" t="s">
        <v>2</v>
      </c>
      <c r="C3" s="286" t="s">
        <v>36</v>
      </c>
      <c r="D3" s="286"/>
      <c r="E3" s="286"/>
      <c r="F3" s="79" t="s">
        <v>3</v>
      </c>
      <c r="G3" s="286" t="s">
        <v>13</v>
      </c>
      <c r="H3" s="286"/>
      <c r="I3" s="286"/>
      <c r="J3" s="286"/>
      <c r="K3" s="286"/>
      <c r="L3" s="286"/>
      <c r="M3" s="286"/>
    </row>
    <row r="4" spans="1:13" x14ac:dyDescent="0.25">
      <c r="A4" s="280"/>
      <c r="B4" s="80"/>
      <c r="C4" s="80"/>
      <c r="D4" s="80"/>
      <c r="E4" s="80"/>
      <c r="F4" s="80"/>
      <c r="G4" s="80"/>
      <c r="H4" s="80"/>
      <c r="I4" s="80"/>
      <c r="J4" s="80"/>
      <c r="K4" s="98"/>
      <c r="L4" s="82"/>
      <c r="M4" s="82"/>
    </row>
    <row r="5" spans="1:13" x14ac:dyDescent="0.25">
      <c r="A5" s="280"/>
      <c r="B5" s="83" t="s">
        <v>7</v>
      </c>
      <c r="C5" s="287" t="s">
        <v>4</v>
      </c>
      <c r="D5" s="287"/>
      <c r="E5" s="287"/>
      <c r="F5" s="287"/>
      <c r="G5" s="287"/>
      <c r="H5" s="287"/>
      <c r="I5" s="287"/>
      <c r="J5" s="287"/>
      <c r="K5" s="99" t="s">
        <v>5</v>
      </c>
      <c r="L5" s="85" t="s">
        <v>6</v>
      </c>
      <c r="M5" s="83" t="s">
        <v>491</v>
      </c>
    </row>
    <row r="6" spans="1:13" ht="15" customHeight="1" x14ac:dyDescent="0.25">
      <c r="A6" s="18" t="s">
        <v>68</v>
      </c>
      <c r="B6" s="95">
        <v>45170</v>
      </c>
      <c r="C6" s="282" t="s">
        <v>558</v>
      </c>
      <c r="D6" s="282"/>
      <c r="E6" s="282"/>
      <c r="F6" s="282"/>
      <c r="G6" s="282"/>
      <c r="H6" s="282"/>
      <c r="I6" s="282"/>
      <c r="J6" s="11"/>
      <c r="K6" s="21">
        <v>65.385416666666671</v>
      </c>
      <c r="L6" s="21">
        <v>96.708333333333329</v>
      </c>
      <c r="M6" s="21">
        <f t="shared" ref="M6:M34" si="0">L6-K6</f>
        <v>31.322916666666657</v>
      </c>
    </row>
    <row r="7" spans="1:13" ht="15" customHeight="1" x14ac:dyDescent="0.25">
      <c r="A7" s="42" t="s">
        <v>69</v>
      </c>
      <c r="B7" s="96">
        <v>45171</v>
      </c>
      <c r="C7" s="283"/>
      <c r="D7" s="283"/>
      <c r="E7" s="283"/>
      <c r="F7" s="283"/>
      <c r="G7" s="283"/>
      <c r="H7" s="283"/>
      <c r="I7" s="283"/>
      <c r="J7" s="42"/>
      <c r="K7" s="41"/>
      <c r="L7" s="41"/>
      <c r="M7" s="41"/>
    </row>
    <row r="8" spans="1:13" ht="15" customHeight="1" x14ac:dyDescent="0.25">
      <c r="A8" s="42" t="s">
        <v>30</v>
      </c>
      <c r="B8" s="96">
        <v>45172</v>
      </c>
      <c r="C8" s="279"/>
      <c r="D8" s="279"/>
      <c r="E8" s="279"/>
      <c r="F8" s="279"/>
      <c r="G8" s="279"/>
      <c r="H8" s="279"/>
      <c r="I8" s="279"/>
      <c r="J8" s="42"/>
      <c r="K8" s="41"/>
      <c r="L8" s="41"/>
      <c r="M8" s="41"/>
    </row>
    <row r="9" spans="1:13" ht="15" customHeight="1" x14ac:dyDescent="0.25">
      <c r="A9" s="18" t="s">
        <v>64</v>
      </c>
      <c r="B9" s="95">
        <v>45173</v>
      </c>
      <c r="C9" s="282" t="s">
        <v>560</v>
      </c>
      <c r="D9" s="282"/>
      <c r="E9" s="282"/>
      <c r="F9" s="282"/>
      <c r="G9" s="282"/>
      <c r="H9" s="282"/>
      <c r="I9" s="282"/>
      <c r="J9" s="18"/>
      <c r="K9" s="21">
        <v>65.458333333333329</v>
      </c>
      <c r="L9" s="21">
        <v>96.770833333333329</v>
      </c>
      <c r="M9" s="21">
        <f t="shared" si="0"/>
        <v>31.3125</v>
      </c>
    </row>
    <row r="10" spans="1:13" ht="15" customHeight="1" x14ac:dyDescent="0.25">
      <c r="A10" s="18" t="s">
        <v>65</v>
      </c>
      <c r="B10" s="95">
        <v>45174</v>
      </c>
      <c r="C10" s="194" t="s">
        <v>559</v>
      </c>
      <c r="D10" s="194"/>
      <c r="E10" s="194"/>
      <c r="F10" s="194"/>
      <c r="G10" s="194"/>
      <c r="H10" s="194"/>
      <c r="I10" s="194"/>
      <c r="J10" s="77"/>
      <c r="K10" s="21">
        <v>65.486111111111114</v>
      </c>
      <c r="L10" s="21">
        <v>96.802083333333329</v>
      </c>
      <c r="M10" s="21">
        <f t="shared" si="0"/>
        <v>31.315972222222214</v>
      </c>
    </row>
    <row r="11" spans="1:13" x14ac:dyDescent="0.25">
      <c r="A11" s="18" t="s">
        <v>96</v>
      </c>
      <c r="B11" s="95">
        <v>45175</v>
      </c>
      <c r="C11" s="282" t="s">
        <v>561</v>
      </c>
      <c r="D11" s="282"/>
      <c r="E11" s="282"/>
      <c r="F11" s="282"/>
      <c r="G11" s="282"/>
      <c r="H11" s="282"/>
      <c r="I11" s="282"/>
      <c r="J11" s="77"/>
      <c r="K11" s="21">
        <v>65.4375</v>
      </c>
      <c r="L11" s="21">
        <v>96.8125</v>
      </c>
      <c r="M11" s="21">
        <f t="shared" si="0"/>
        <v>31.375</v>
      </c>
    </row>
    <row r="12" spans="1:13" x14ac:dyDescent="0.25">
      <c r="A12" s="18" t="s">
        <v>67</v>
      </c>
      <c r="B12" s="95">
        <v>45176</v>
      </c>
      <c r="C12" s="282" t="s">
        <v>563</v>
      </c>
      <c r="D12" s="282"/>
      <c r="E12" s="282"/>
      <c r="F12" s="282"/>
      <c r="G12" s="282"/>
      <c r="H12" s="282"/>
      <c r="I12" s="282"/>
      <c r="J12" s="77"/>
      <c r="K12" s="21">
        <v>65.427083333333329</v>
      </c>
      <c r="L12" s="21">
        <v>96.822916666666671</v>
      </c>
      <c r="M12" s="21">
        <f t="shared" si="0"/>
        <v>31.395833333333343</v>
      </c>
    </row>
    <row r="13" spans="1:13" ht="15" customHeight="1" x14ac:dyDescent="0.25">
      <c r="A13" s="18" t="s">
        <v>68</v>
      </c>
      <c r="B13" s="95">
        <v>45177</v>
      </c>
      <c r="C13" s="194" t="s">
        <v>564</v>
      </c>
      <c r="D13" s="194"/>
      <c r="E13" s="194"/>
      <c r="F13" s="194"/>
      <c r="G13" s="194"/>
      <c r="H13" s="194"/>
      <c r="I13" s="194"/>
      <c r="J13" s="77"/>
      <c r="K13" s="21">
        <v>65.430555555555557</v>
      </c>
      <c r="L13" s="21">
        <v>96.833333333333329</v>
      </c>
      <c r="M13" s="21">
        <f t="shared" si="0"/>
        <v>31.402777777777771</v>
      </c>
    </row>
    <row r="14" spans="1:13" x14ac:dyDescent="0.25">
      <c r="A14" s="42" t="s">
        <v>69</v>
      </c>
      <c r="B14" s="96">
        <v>45178</v>
      </c>
      <c r="C14" s="283"/>
      <c r="D14" s="283"/>
      <c r="E14" s="283"/>
      <c r="F14" s="283"/>
      <c r="G14" s="283"/>
      <c r="H14" s="283"/>
      <c r="I14" s="283"/>
      <c r="J14" s="42"/>
      <c r="K14" s="41"/>
      <c r="L14" s="41"/>
      <c r="M14" s="41"/>
    </row>
    <row r="15" spans="1:13" ht="15" customHeight="1" x14ac:dyDescent="0.25">
      <c r="A15" s="42" t="s">
        <v>30</v>
      </c>
      <c r="B15" s="96">
        <v>45179</v>
      </c>
      <c r="C15" s="284"/>
      <c r="D15" s="284"/>
      <c r="E15" s="284"/>
      <c r="F15" s="284"/>
      <c r="G15" s="284"/>
      <c r="H15" s="284"/>
      <c r="I15" s="284"/>
      <c r="J15" s="42"/>
      <c r="K15" s="120"/>
      <c r="L15" s="41"/>
      <c r="M15" s="41"/>
    </row>
    <row r="16" spans="1:13" ht="15" customHeight="1" x14ac:dyDescent="0.25">
      <c r="A16" s="18" t="s">
        <v>64</v>
      </c>
      <c r="B16" s="95">
        <v>45180</v>
      </c>
      <c r="C16" s="259" t="s">
        <v>562</v>
      </c>
      <c r="D16" s="259"/>
      <c r="E16" s="259"/>
      <c r="F16" s="259"/>
      <c r="G16" s="259"/>
      <c r="H16" s="259"/>
      <c r="I16" s="259"/>
      <c r="J16" s="18"/>
      <c r="K16" s="21">
        <v>65.416666666666671</v>
      </c>
      <c r="L16" s="21">
        <v>96.791666666666671</v>
      </c>
      <c r="M16" s="21">
        <f t="shared" si="0"/>
        <v>31.375</v>
      </c>
    </row>
    <row r="17" spans="1:13" x14ac:dyDescent="0.25">
      <c r="A17" s="18" t="s">
        <v>65</v>
      </c>
      <c r="B17" s="95">
        <v>45181</v>
      </c>
      <c r="C17" s="259" t="s">
        <v>565</v>
      </c>
      <c r="D17" s="259"/>
      <c r="E17" s="259"/>
      <c r="F17" s="259"/>
      <c r="G17" s="259"/>
      <c r="H17" s="259"/>
      <c r="I17" s="259"/>
      <c r="J17" s="77"/>
      <c r="K17" s="21">
        <v>65.4375</v>
      </c>
      <c r="L17" s="21">
        <v>96.8125</v>
      </c>
      <c r="M17" s="21">
        <f t="shared" si="0"/>
        <v>31.375</v>
      </c>
    </row>
    <row r="18" spans="1:13" ht="15" customHeight="1" x14ac:dyDescent="0.25">
      <c r="A18" s="18" t="s">
        <v>96</v>
      </c>
      <c r="B18" s="95">
        <v>45182</v>
      </c>
      <c r="C18" s="259" t="s">
        <v>566</v>
      </c>
      <c r="D18" s="259"/>
      <c r="E18" s="259"/>
      <c r="F18" s="259"/>
      <c r="G18" s="259"/>
      <c r="H18" s="259"/>
      <c r="I18" s="259"/>
      <c r="J18" s="77"/>
      <c r="K18" s="21">
        <v>65.434027777777771</v>
      </c>
      <c r="L18" s="21">
        <v>96.784722222222229</v>
      </c>
      <c r="M18" s="21">
        <f t="shared" si="0"/>
        <v>31.350694444444457</v>
      </c>
    </row>
    <row r="19" spans="1:13" ht="15" customHeight="1" x14ac:dyDescent="0.25">
      <c r="A19" s="18" t="s">
        <v>67</v>
      </c>
      <c r="B19" s="95">
        <v>45183</v>
      </c>
      <c r="C19" s="259" t="s">
        <v>567</v>
      </c>
      <c r="D19" s="259"/>
      <c r="E19" s="259"/>
      <c r="F19" s="259"/>
      <c r="G19" s="259"/>
      <c r="H19" s="259"/>
      <c r="I19" s="259"/>
      <c r="J19" s="18"/>
      <c r="K19" s="21">
        <v>65.409722222222229</v>
      </c>
      <c r="L19" s="21">
        <v>96.75</v>
      </c>
      <c r="M19" s="21">
        <f t="shared" si="0"/>
        <v>31.340277777777771</v>
      </c>
    </row>
    <row r="20" spans="1:13" ht="15" customHeight="1" x14ac:dyDescent="0.25">
      <c r="A20" s="18" t="s">
        <v>68</v>
      </c>
      <c r="B20" s="95">
        <v>45184</v>
      </c>
      <c r="C20" s="282" t="s">
        <v>568</v>
      </c>
      <c r="D20" s="282"/>
      <c r="E20" s="282"/>
      <c r="F20" s="282"/>
      <c r="G20" s="282"/>
      <c r="H20" s="282"/>
      <c r="I20" s="282"/>
      <c r="J20" s="18"/>
      <c r="K20" s="21">
        <v>65.434027777777771</v>
      </c>
      <c r="L20" s="21">
        <v>96.78125</v>
      </c>
      <c r="M20" s="21">
        <f t="shared" si="0"/>
        <v>31.347222222222229</v>
      </c>
    </row>
    <row r="21" spans="1:13" x14ac:dyDescent="0.25">
      <c r="A21" s="42" t="s">
        <v>69</v>
      </c>
      <c r="B21" s="96">
        <v>45185</v>
      </c>
      <c r="C21" s="283"/>
      <c r="D21" s="283"/>
      <c r="E21" s="283"/>
      <c r="F21" s="283"/>
      <c r="G21" s="283"/>
      <c r="H21" s="283"/>
      <c r="I21" s="283"/>
      <c r="J21" s="42"/>
      <c r="K21" s="41"/>
      <c r="L21" s="41"/>
      <c r="M21" s="41"/>
    </row>
    <row r="22" spans="1:13" x14ac:dyDescent="0.25">
      <c r="A22" s="42" t="s">
        <v>30</v>
      </c>
      <c r="B22" s="96">
        <v>45186</v>
      </c>
      <c r="C22" s="279"/>
      <c r="D22" s="279"/>
      <c r="E22" s="279"/>
      <c r="F22" s="279"/>
      <c r="G22" s="279"/>
      <c r="H22" s="279"/>
      <c r="I22" s="279"/>
      <c r="J22" s="42"/>
      <c r="K22" s="41"/>
      <c r="L22" s="41"/>
      <c r="M22" s="41"/>
    </row>
    <row r="23" spans="1:13" x14ac:dyDescent="0.25">
      <c r="A23" s="42" t="s">
        <v>64</v>
      </c>
      <c r="B23" s="96">
        <v>45187</v>
      </c>
      <c r="C23" s="279" t="s">
        <v>569</v>
      </c>
      <c r="D23" s="279"/>
      <c r="E23" s="279"/>
      <c r="F23" s="279"/>
      <c r="G23" s="279"/>
      <c r="H23" s="279"/>
      <c r="I23" s="279"/>
      <c r="J23" s="42"/>
      <c r="K23" s="41"/>
      <c r="L23" s="41"/>
      <c r="M23" s="41"/>
    </row>
    <row r="24" spans="1:13" x14ac:dyDescent="0.25">
      <c r="A24" s="18" t="s">
        <v>65</v>
      </c>
      <c r="B24" s="95">
        <v>45188</v>
      </c>
      <c r="C24" s="259" t="s">
        <v>570</v>
      </c>
      <c r="D24" s="259"/>
      <c r="E24" s="259"/>
      <c r="F24" s="259"/>
      <c r="G24" s="259"/>
      <c r="H24" s="259"/>
      <c r="I24" s="259"/>
      <c r="J24" s="37"/>
      <c r="K24" s="21">
        <v>65.326388888888886</v>
      </c>
      <c r="L24" s="21">
        <v>96.791666666666671</v>
      </c>
      <c r="M24" s="21">
        <f t="shared" si="0"/>
        <v>31.465277777777786</v>
      </c>
    </row>
    <row r="25" spans="1:13" x14ac:dyDescent="0.25">
      <c r="A25" s="18" t="s">
        <v>96</v>
      </c>
      <c r="B25" s="95">
        <v>45189</v>
      </c>
      <c r="C25" s="259" t="s">
        <v>571</v>
      </c>
      <c r="D25" s="259"/>
      <c r="E25" s="259"/>
      <c r="F25" s="259"/>
      <c r="G25" s="259"/>
      <c r="H25" s="259"/>
      <c r="I25" s="259"/>
      <c r="J25" s="37"/>
      <c r="K25" s="21">
        <v>65.604166666666671</v>
      </c>
      <c r="L25" s="21">
        <v>96.802083333333329</v>
      </c>
      <c r="M25" s="21">
        <f t="shared" si="0"/>
        <v>31.197916666666657</v>
      </c>
    </row>
    <row r="26" spans="1:13" x14ac:dyDescent="0.25">
      <c r="A26" s="18" t="s">
        <v>67</v>
      </c>
      <c r="B26" s="95">
        <v>45190</v>
      </c>
      <c r="C26" s="194" t="s">
        <v>572</v>
      </c>
      <c r="D26" s="194"/>
      <c r="E26" s="194"/>
      <c r="F26" s="194"/>
      <c r="G26" s="194"/>
      <c r="H26" s="194"/>
      <c r="I26" s="194"/>
      <c r="J26" s="37"/>
      <c r="K26" s="21">
        <v>65.4375</v>
      </c>
      <c r="L26" s="21">
        <v>96.784722222222229</v>
      </c>
      <c r="M26" s="21">
        <f>L26-K26</f>
        <v>31.347222222222229</v>
      </c>
    </row>
    <row r="27" spans="1:13" x14ac:dyDescent="0.25">
      <c r="A27" s="18" t="s">
        <v>68</v>
      </c>
      <c r="B27" s="95">
        <v>45191</v>
      </c>
      <c r="C27" s="280" t="s">
        <v>573</v>
      </c>
      <c r="D27" s="280"/>
      <c r="E27" s="280"/>
      <c r="F27" s="280"/>
      <c r="G27" s="280"/>
      <c r="H27" s="280"/>
      <c r="I27" s="280"/>
      <c r="J27" s="37"/>
      <c r="K27" s="21">
        <v>65.434027777777771</v>
      </c>
      <c r="L27" s="21">
        <v>96.784722222222229</v>
      </c>
      <c r="M27" s="21">
        <f t="shared" si="0"/>
        <v>31.350694444444457</v>
      </c>
    </row>
    <row r="28" spans="1:13" ht="15" customHeight="1" x14ac:dyDescent="0.25">
      <c r="A28" s="42" t="s">
        <v>69</v>
      </c>
      <c r="B28" s="96">
        <v>45192</v>
      </c>
      <c r="C28" s="284"/>
      <c r="D28" s="284"/>
      <c r="E28" s="284"/>
      <c r="F28" s="284"/>
      <c r="G28" s="284"/>
      <c r="H28" s="284"/>
      <c r="I28" s="284"/>
      <c r="J28" s="42"/>
      <c r="K28" s="41"/>
      <c r="L28" s="41"/>
      <c r="M28" s="41"/>
    </row>
    <row r="29" spans="1:13" ht="15" customHeight="1" x14ac:dyDescent="0.25">
      <c r="A29" s="42" t="s">
        <v>30</v>
      </c>
      <c r="B29" s="96">
        <v>45193</v>
      </c>
      <c r="C29" s="279"/>
      <c r="D29" s="279"/>
      <c r="E29" s="279"/>
      <c r="F29" s="279"/>
      <c r="G29" s="279"/>
      <c r="H29" s="279"/>
      <c r="I29" s="279"/>
      <c r="J29" s="42"/>
      <c r="K29" s="41"/>
      <c r="L29" s="41"/>
      <c r="M29" s="41"/>
    </row>
    <row r="30" spans="1:13" ht="15" customHeight="1" x14ac:dyDescent="0.25">
      <c r="A30" s="18" t="s">
        <v>64</v>
      </c>
      <c r="B30" s="95">
        <v>45194</v>
      </c>
      <c r="C30" s="280" t="s">
        <v>574</v>
      </c>
      <c r="D30" s="280"/>
      <c r="E30" s="280"/>
      <c r="F30" s="280"/>
      <c r="G30" s="280"/>
      <c r="H30" s="280"/>
      <c r="I30" s="280"/>
      <c r="J30" s="18"/>
      <c r="K30" s="21">
        <v>65.430555555555557</v>
      </c>
      <c r="L30" s="21">
        <v>96.8125</v>
      </c>
      <c r="M30" s="21">
        <f t="shared" si="0"/>
        <v>31.381944444444443</v>
      </c>
    </row>
    <row r="31" spans="1:13" x14ac:dyDescent="0.25">
      <c r="A31" s="18" t="s">
        <v>65</v>
      </c>
      <c r="B31" s="95">
        <v>45195</v>
      </c>
      <c r="C31" s="194" t="s">
        <v>575</v>
      </c>
      <c r="D31" s="194"/>
      <c r="E31" s="194"/>
      <c r="F31" s="194"/>
      <c r="G31" s="194"/>
      <c r="H31" s="194"/>
      <c r="I31" s="194"/>
      <c r="J31" s="18"/>
      <c r="K31" s="21">
        <v>65.434027777777771</v>
      </c>
      <c r="L31" s="21">
        <v>96.784722222222229</v>
      </c>
      <c r="M31" s="21">
        <f t="shared" si="0"/>
        <v>31.350694444444457</v>
      </c>
    </row>
    <row r="32" spans="1:13" ht="15" customHeight="1" x14ac:dyDescent="0.25">
      <c r="A32" s="18" t="s">
        <v>96</v>
      </c>
      <c r="B32" s="95">
        <v>45196</v>
      </c>
      <c r="C32" s="194" t="s">
        <v>576</v>
      </c>
      <c r="D32" s="194"/>
      <c r="E32" s="194"/>
      <c r="F32" s="194"/>
      <c r="G32" s="194"/>
      <c r="H32" s="194"/>
      <c r="I32" s="194"/>
      <c r="J32" s="18"/>
      <c r="K32" s="21">
        <v>65.430555555555557</v>
      </c>
      <c r="L32" s="21">
        <v>96.784722222222229</v>
      </c>
      <c r="M32" s="21">
        <f t="shared" si="0"/>
        <v>31.354166666666671</v>
      </c>
    </row>
    <row r="33" spans="1:13" x14ac:dyDescent="0.25">
      <c r="A33" s="18" t="s">
        <v>67</v>
      </c>
      <c r="B33" s="95">
        <v>45197</v>
      </c>
      <c r="C33" s="194" t="s">
        <v>577</v>
      </c>
      <c r="D33" s="194"/>
      <c r="E33" s="194"/>
      <c r="F33" s="194"/>
      <c r="G33" s="194"/>
      <c r="H33" s="194"/>
      <c r="I33" s="194"/>
      <c r="J33" s="18"/>
      <c r="K33" s="21">
        <v>65.423611111111114</v>
      </c>
      <c r="L33" s="21">
        <v>96.784722222222229</v>
      </c>
      <c r="M33" s="21">
        <f t="shared" si="0"/>
        <v>31.361111111111114</v>
      </c>
    </row>
    <row r="34" spans="1:13" x14ac:dyDescent="0.25">
      <c r="A34" s="18" t="s">
        <v>68</v>
      </c>
      <c r="B34" s="95">
        <v>45198</v>
      </c>
      <c r="C34" s="194" t="s">
        <v>578</v>
      </c>
      <c r="D34" s="270"/>
      <c r="E34" s="270"/>
      <c r="F34" s="270"/>
      <c r="G34" s="270"/>
      <c r="H34" s="270"/>
      <c r="I34" s="270"/>
      <c r="J34" s="18"/>
      <c r="K34" s="21">
        <v>65.5</v>
      </c>
      <c r="L34" s="21">
        <v>96.770833333333329</v>
      </c>
      <c r="M34" s="21">
        <f t="shared" si="0"/>
        <v>31.270833333333329</v>
      </c>
    </row>
    <row r="35" spans="1:13" x14ac:dyDescent="0.25">
      <c r="A35" s="42" t="s">
        <v>69</v>
      </c>
      <c r="B35" s="96">
        <v>45199</v>
      </c>
      <c r="C35" s="281"/>
      <c r="D35" s="281"/>
      <c r="E35" s="281"/>
      <c r="F35" s="281"/>
      <c r="G35" s="281"/>
      <c r="H35" s="281"/>
      <c r="I35" s="281"/>
      <c r="J35" s="42"/>
      <c r="K35" s="41"/>
      <c r="L35" s="41"/>
      <c r="M35" s="41"/>
    </row>
    <row r="36" spans="1:13" x14ac:dyDescent="0.25">
      <c r="A36" s="42" t="s">
        <v>30</v>
      </c>
      <c r="B36" s="96">
        <v>45200</v>
      </c>
      <c r="C36" s="279"/>
      <c r="D36" s="279"/>
      <c r="E36" s="279"/>
      <c r="F36" s="279"/>
      <c r="G36" s="279"/>
      <c r="H36" s="279"/>
      <c r="I36" s="279"/>
      <c r="J36" s="42"/>
      <c r="K36" s="41"/>
      <c r="L36" s="41"/>
      <c r="M36" s="41"/>
    </row>
    <row r="37" spans="1:13" x14ac:dyDescent="0.25">
      <c r="K37" s="122"/>
    </row>
    <row r="1048574" spans="11:12" x14ac:dyDescent="0.25">
      <c r="K1048574" s="21">
        <v>0.41666666666666669</v>
      </c>
      <c r="L1048574" s="21">
        <v>0.75</v>
      </c>
    </row>
  </sheetData>
  <mergeCells count="38">
    <mergeCell ref="A1:A5"/>
    <mergeCell ref="B1:M1"/>
    <mergeCell ref="C2:E2"/>
    <mergeCell ref="G2:M2"/>
    <mergeCell ref="C3:E3"/>
    <mergeCell ref="G3:M3"/>
    <mergeCell ref="C5:J5"/>
    <mergeCell ref="C17:I17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29:I29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36:I36"/>
    <mergeCell ref="C30:I30"/>
    <mergeCell ref="C31:I31"/>
    <mergeCell ref="C32:I32"/>
    <mergeCell ref="C33:I33"/>
    <mergeCell ref="C34:I34"/>
    <mergeCell ref="C35:I35"/>
  </mergeCells>
  <phoneticPr fontId="6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95E8-C834-4C47-AD6D-7EFEFCF94F85}">
  <dimension ref="A1:M1048574"/>
  <sheetViews>
    <sheetView topLeftCell="C1" zoomScaleNormal="100" workbookViewId="0">
      <selection activeCell="C36" sqref="C36:I36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5" max="5" width="23.85546875" customWidth="1"/>
    <col min="6" max="6" width="54.140625" customWidth="1"/>
    <col min="9" max="9" width="38" customWidth="1"/>
    <col min="11" max="11" width="11.5703125" style="102" bestFit="1" customWidth="1"/>
    <col min="12" max="12" width="9.140625" style="23"/>
    <col min="13" max="13" width="10.28515625" bestFit="1" customWidth="1"/>
  </cols>
  <sheetData>
    <row r="1" spans="1:13" ht="18.75" x14ac:dyDescent="0.3">
      <c r="A1" s="280"/>
      <c r="B1" s="285" t="s">
        <v>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x14ac:dyDescent="0.25">
      <c r="A2" s="280"/>
      <c r="B2" s="79" t="s">
        <v>1</v>
      </c>
      <c r="C2" s="286" t="s">
        <v>34</v>
      </c>
      <c r="D2" s="286"/>
      <c r="E2" s="286"/>
      <c r="F2" s="79" t="s">
        <v>8</v>
      </c>
      <c r="G2" s="286" t="s">
        <v>35</v>
      </c>
      <c r="H2" s="286"/>
      <c r="I2" s="286"/>
      <c r="J2" s="286"/>
      <c r="K2" s="286"/>
      <c r="L2" s="286"/>
      <c r="M2" s="286"/>
    </row>
    <row r="3" spans="1:13" x14ac:dyDescent="0.25">
      <c r="A3" s="280"/>
      <c r="B3" s="79" t="s">
        <v>2</v>
      </c>
      <c r="C3" s="286" t="s">
        <v>36</v>
      </c>
      <c r="D3" s="286"/>
      <c r="E3" s="286"/>
      <c r="F3" s="79" t="s">
        <v>3</v>
      </c>
      <c r="G3" s="286" t="s">
        <v>13</v>
      </c>
      <c r="H3" s="286"/>
      <c r="I3" s="286"/>
      <c r="J3" s="286"/>
      <c r="K3" s="286"/>
      <c r="L3" s="286"/>
      <c r="M3" s="286"/>
    </row>
    <row r="4" spans="1:13" x14ac:dyDescent="0.25">
      <c r="A4" s="280"/>
      <c r="B4" s="80"/>
      <c r="C4" s="80"/>
      <c r="D4" s="80"/>
      <c r="E4" s="80"/>
      <c r="F4" s="80"/>
      <c r="G4" s="80"/>
      <c r="H4" s="80"/>
      <c r="I4" s="80"/>
      <c r="J4" s="80"/>
      <c r="K4" s="98"/>
      <c r="L4" s="82"/>
      <c r="M4" s="82"/>
    </row>
    <row r="5" spans="1:13" x14ac:dyDescent="0.25">
      <c r="A5" s="280"/>
      <c r="B5" s="83" t="s">
        <v>7</v>
      </c>
      <c r="C5" s="287" t="s">
        <v>4</v>
      </c>
      <c r="D5" s="287"/>
      <c r="E5" s="287"/>
      <c r="F5" s="287"/>
      <c r="G5" s="287"/>
      <c r="H5" s="287"/>
      <c r="I5" s="287"/>
      <c r="J5" s="287"/>
      <c r="K5" s="99" t="s">
        <v>5</v>
      </c>
      <c r="L5" s="85" t="s">
        <v>6</v>
      </c>
      <c r="M5" s="83" t="s">
        <v>491</v>
      </c>
    </row>
    <row r="6" spans="1:13" ht="15" customHeight="1" x14ac:dyDescent="0.25">
      <c r="A6" s="18" t="s">
        <v>65</v>
      </c>
      <c r="B6" s="95">
        <v>45139</v>
      </c>
      <c r="C6" s="282" t="s">
        <v>538</v>
      </c>
      <c r="D6" s="282"/>
      <c r="E6" s="282"/>
      <c r="F6" s="282"/>
      <c r="G6" s="282"/>
      <c r="H6" s="282"/>
      <c r="I6" s="282"/>
      <c r="J6" s="11"/>
      <c r="K6" s="21">
        <v>65.430555555555557</v>
      </c>
      <c r="L6" s="21">
        <v>96.708333333333329</v>
      </c>
      <c r="M6" s="21">
        <f t="shared" ref="M6:M36" si="0">L6-K6</f>
        <v>31.277777777777771</v>
      </c>
    </row>
    <row r="7" spans="1:13" ht="15" customHeight="1" x14ac:dyDescent="0.25">
      <c r="A7" s="18" t="s">
        <v>96</v>
      </c>
      <c r="B7" s="95">
        <v>45140</v>
      </c>
      <c r="C7" s="282" t="s">
        <v>538</v>
      </c>
      <c r="D7" s="282"/>
      <c r="E7" s="282"/>
      <c r="F7" s="282"/>
      <c r="G7" s="282"/>
      <c r="H7" s="282"/>
      <c r="I7" s="282"/>
      <c r="J7" s="18"/>
      <c r="K7" s="21">
        <v>65.416666666666671</v>
      </c>
      <c r="L7" s="21">
        <v>96.8125</v>
      </c>
      <c r="M7" s="21">
        <f t="shared" si="0"/>
        <v>31.395833333333329</v>
      </c>
    </row>
    <row r="8" spans="1:13" ht="15" customHeight="1" x14ac:dyDescent="0.25">
      <c r="A8" s="18" t="s">
        <v>67</v>
      </c>
      <c r="B8" s="95">
        <v>45141</v>
      </c>
      <c r="C8" s="194" t="s">
        <v>539</v>
      </c>
      <c r="D8" s="194"/>
      <c r="E8" s="194"/>
      <c r="F8" s="194"/>
      <c r="G8" s="194"/>
      <c r="H8" s="194"/>
      <c r="I8" s="194"/>
      <c r="J8" s="18"/>
      <c r="K8" s="21">
        <v>65.447916666666671</v>
      </c>
      <c r="L8" s="21">
        <v>96.78125</v>
      </c>
      <c r="M8" s="21">
        <f t="shared" si="0"/>
        <v>31.333333333333329</v>
      </c>
    </row>
    <row r="9" spans="1:13" ht="15" customHeight="1" x14ac:dyDescent="0.25">
      <c r="A9" s="18" t="s">
        <v>68</v>
      </c>
      <c r="B9" s="95">
        <v>45142</v>
      </c>
      <c r="C9" s="282" t="s">
        <v>538</v>
      </c>
      <c r="D9" s="282"/>
      <c r="E9" s="282"/>
      <c r="F9" s="282"/>
      <c r="G9" s="282"/>
      <c r="H9" s="282"/>
      <c r="I9" s="282"/>
      <c r="J9" s="18"/>
      <c r="K9" s="21">
        <v>65.416666666666671</v>
      </c>
      <c r="L9" s="21">
        <v>96.715277777777771</v>
      </c>
      <c r="M9" s="21">
        <f t="shared" si="0"/>
        <v>31.2986111111111</v>
      </c>
    </row>
    <row r="10" spans="1:13" ht="15" customHeight="1" x14ac:dyDescent="0.25">
      <c r="A10" s="42" t="s">
        <v>69</v>
      </c>
      <c r="B10" s="96">
        <v>45143</v>
      </c>
      <c r="C10" s="279"/>
      <c r="D10" s="279"/>
      <c r="E10" s="279"/>
      <c r="F10" s="279"/>
      <c r="G10" s="279"/>
      <c r="H10" s="279"/>
      <c r="I10" s="279"/>
      <c r="J10" s="78"/>
      <c r="K10" s="120"/>
      <c r="L10" s="120"/>
      <c r="M10" s="41"/>
    </row>
    <row r="11" spans="1:13" x14ac:dyDescent="0.25">
      <c r="A11" s="42" t="s">
        <v>30</v>
      </c>
      <c r="B11" s="96">
        <v>45144</v>
      </c>
      <c r="C11" s="283"/>
      <c r="D11" s="283"/>
      <c r="E11" s="283"/>
      <c r="F11" s="283"/>
      <c r="G11" s="283"/>
      <c r="H11" s="283"/>
      <c r="I11" s="283"/>
      <c r="J11" s="78"/>
      <c r="K11" s="120"/>
      <c r="L11" s="120"/>
      <c r="M11" s="41"/>
    </row>
    <row r="12" spans="1:13" x14ac:dyDescent="0.25">
      <c r="A12" s="18" t="s">
        <v>64</v>
      </c>
      <c r="B12" s="95">
        <v>45145</v>
      </c>
      <c r="C12" s="282" t="s">
        <v>538</v>
      </c>
      <c r="D12" s="282"/>
      <c r="E12" s="282"/>
      <c r="F12" s="282"/>
      <c r="G12" s="282"/>
      <c r="H12" s="282"/>
      <c r="I12" s="282"/>
      <c r="J12" s="77"/>
      <c r="K12" s="21">
        <v>65.427083333333329</v>
      </c>
      <c r="L12" s="21">
        <v>96.822916666666671</v>
      </c>
      <c r="M12" s="21">
        <f t="shared" si="0"/>
        <v>31.395833333333343</v>
      </c>
    </row>
    <row r="13" spans="1:13" ht="15" customHeight="1" x14ac:dyDescent="0.25">
      <c r="A13" s="18" t="s">
        <v>65</v>
      </c>
      <c r="B13" s="95">
        <v>45146</v>
      </c>
      <c r="C13" s="194" t="s">
        <v>540</v>
      </c>
      <c r="D13" s="194"/>
      <c r="E13" s="194"/>
      <c r="F13" s="194"/>
      <c r="G13" s="194"/>
      <c r="H13" s="194"/>
      <c r="I13" s="194"/>
      <c r="J13" s="77"/>
      <c r="K13" s="21">
        <v>65.416666666666671</v>
      </c>
      <c r="L13" s="21">
        <v>96.833333333333329</v>
      </c>
      <c r="M13" s="21">
        <f t="shared" si="0"/>
        <v>31.416666666666657</v>
      </c>
    </row>
    <row r="14" spans="1:13" x14ac:dyDescent="0.25">
      <c r="A14" s="18" t="s">
        <v>96</v>
      </c>
      <c r="B14" s="95">
        <v>45147</v>
      </c>
      <c r="C14" s="282" t="s">
        <v>541</v>
      </c>
      <c r="D14" s="282"/>
      <c r="E14" s="282"/>
      <c r="F14" s="282"/>
      <c r="G14" s="282"/>
      <c r="H14" s="282"/>
      <c r="I14" s="282"/>
      <c r="J14" s="18"/>
      <c r="K14" s="21">
        <v>65.416666666666671</v>
      </c>
      <c r="L14" s="21">
        <v>96.8125</v>
      </c>
      <c r="M14" s="21">
        <f t="shared" si="0"/>
        <v>31.395833333333329</v>
      </c>
    </row>
    <row r="15" spans="1:13" ht="15" customHeight="1" x14ac:dyDescent="0.25">
      <c r="A15" s="18" t="s">
        <v>67</v>
      </c>
      <c r="B15" s="95">
        <v>45148</v>
      </c>
      <c r="C15" s="259" t="s">
        <v>546</v>
      </c>
      <c r="D15" s="259"/>
      <c r="E15" s="259"/>
      <c r="F15" s="259"/>
      <c r="G15" s="259"/>
      <c r="H15" s="259"/>
      <c r="I15" s="259"/>
      <c r="J15" s="18"/>
      <c r="K15" s="97"/>
      <c r="L15" s="21">
        <v>96.78125</v>
      </c>
      <c r="M15" s="21">
        <f t="shared" si="0"/>
        <v>96.78125</v>
      </c>
    </row>
    <row r="16" spans="1:13" ht="15" customHeight="1" x14ac:dyDescent="0.25">
      <c r="A16" s="18" t="s">
        <v>68</v>
      </c>
      <c r="B16" s="95">
        <v>45149</v>
      </c>
      <c r="C16" s="259" t="s">
        <v>545</v>
      </c>
      <c r="D16" s="259"/>
      <c r="E16" s="259"/>
      <c r="F16" s="259"/>
      <c r="G16" s="259"/>
      <c r="H16" s="259"/>
      <c r="I16" s="259"/>
      <c r="J16" s="18"/>
      <c r="K16" s="21">
        <v>65.427083333333329</v>
      </c>
      <c r="L16" s="21">
        <v>96.798611111111114</v>
      </c>
      <c r="M16" s="21">
        <f t="shared" si="0"/>
        <v>31.371527777777786</v>
      </c>
    </row>
    <row r="17" spans="1:13" x14ac:dyDescent="0.25">
      <c r="A17" s="42" t="s">
        <v>69</v>
      </c>
      <c r="B17" s="96">
        <v>45150</v>
      </c>
      <c r="C17" s="284"/>
      <c r="D17" s="284"/>
      <c r="E17" s="284"/>
      <c r="F17" s="284"/>
      <c r="G17" s="284"/>
      <c r="H17" s="284"/>
      <c r="I17" s="284"/>
      <c r="J17" s="78"/>
      <c r="K17" s="120"/>
      <c r="L17" s="120"/>
      <c r="M17" s="41"/>
    </row>
    <row r="18" spans="1:13" ht="15" customHeight="1" x14ac:dyDescent="0.25">
      <c r="A18" s="42" t="s">
        <v>30</v>
      </c>
      <c r="B18" s="96">
        <v>45151</v>
      </c>
      <c r="C18" s="284"/>
      <c r="D18" s="284"/>
      <c r="E18" s="284"/>
      <c r="F18" s="284"/>
      <c r="G18" s="284"/>
      <c r="H18" s="284"/>
      <c r="I18" s="284"/>
      <c r="J18" s="78"/>
      <c r="K18" s="120"/>
      <c r="L18" s="120"/>
      <c r="M18" s="41"/>
    </row>
    <row r="19" spans="1:13" ht="15" customHeight="1" x14ac:dyDescent="0.25">
      <c r="A19" s="18" t="s">
        <v>64</v>
      </c>
      <c r="B19" s="95">
        <v>45152</v>
      </c>
      <c r="C19" s="259" t="s">
        <v>542</v>
      </c>
      <c r="D19" s="259"/>
      <c r="E19" s="259"/>
      <c r="F19" s="259"/>
      <c r="G19" s="259"/>
      <c r="H19" s="259"/>
      <c r="I19" s="259"/>
      <c r="J19" s="18"/>
      <c r="K19" s="21">
        <v>65.4375</v>
      </c>
      <c r="L19" s="21">
        <v>96.791666666666671</v>
      </c>
      <c r="M19" s="21">
        <f t="shared" si="0"/>
        <v>31.354166666666671</v>
      </c>
    </row>
    <row r="20" spans="1:13" ht="15" customHeight="1" x14ac:dyDescent="0.25">
      <c r="A20" s="18" t="s">
        <v>65</v>
      </c>
      <c r="B20" s="95">
        <v>45153</v>
      </c>
      <c r="C20" s="282" t="s">
        <v>544</v>
      </c>
      <c r="D20" s="282"/>
      <c r="E20" s="282"/>
      <c r="F20" s="282"/>
      <c r="G20" s="282"/>
      <c r="H20" s="282"/>
      <c r="I20" s="282"/>
      <c r="J20" s="18"/>
      <c r="K20" s="123"/>
      <c r="L20" s="22"/>
      <c r="M20" s="18"/>
    </row>
    <row r="21" spans="1:13" x14ac:dyDescent="0.25">
      <c r="A21" s="18" t="s">
        <v>96</v>
      </c>
      <c r="B21" s="95">
        <v>45154</v>
      </c>
      <c r="C21" s="282" t="s">
        <v>543</v>
      </c>
      <c r="D21" s="282"/>
      <c r="E21" s="282"/>
      <c r="F21" s="282"/>
      <c r="G21" s="282"/>
      <c r="H21" s="282"/>
      <c r="I21" s="282"/>
      <c r="J21" s="18"/>
      <c r="K21" s="21">
        <v>65.416666666666671</v>
      </c>
      <c r="L21" s="21">
        <v>96.871527777777771</v>
      </c>
      <c r="M21" s="21">
        <f>L21-K21</f>
        <v>31.4548611111111</v>
      </c>
    </row>
    <row r="22" spans="1:13" x14ac:dyDescent="0.25">
      <c r="A22" s="18" t="s">
        <v>67</v>
      </c>
      <c r="B22" s="95">
        <v>45155</v>
      </c>
      <c r="C22" s="194" t="s">
        <v>547</v>
      </c>
      <c r="D22" s="194"/>
      <c r="E22" s="194"/>
      <c r="F22" s="194"/>
      <c r="G22" s="194"/>
      <c r="H22" s="194"/>
      <c r="I22" s="194"/>
      <c r="J22" s="18"/>
      <c r="K22" s="21">
        <v>65.416666666666671</v>
      </c>
      <c r="L22" s="21">
        <v>96.913194444444443</v>
      </c>
      <c r="M22" s="21">
        <f>L22-K22</f>
        <v>31.496527777777771</v>
      </c>
    </row>
    <row r="23" spans="1:13" x14ac:dyDescent="0.25">
      <c r="A23" s="18" t="s">
        <v>68</v>
      </c>
      <c r="B23" s="95">
        <v>45156</v>
      </c>
      <c r="C23" s="194" t="s">
        <v>548</v>
      </c>
      <c r="D23" s="194"/>
      <c r="E23" s="194"/>
      <c r="F23" s="194"/>
      <c r="G23" s="194"/>
      <c r="H23" s="194"/>
      <c r="I23" s="194"/>
      <c r="J23" s="18"/>
      <c r="K23" s="21">
        <v>65.423611111111114</v>
      </c>
      <c r="L23" s="21">
        <v>96.913194444444443</v>
      </c>
      <c r="M23" s="21">
        <f>L23-K23</f>
        <v>31.489583333333329</v>
      </c>
    </row>
    <row r="24" spans="1:13" x14ac:dyDescent="0.25">
      <c r="A24" s="42" t="s">
        <v>69</v>
      </c>
      <c r="B24" s="96">
        <v>45157</v>
      </c>
      <c r="C24" s="284"/>
      <c r="D24" s="284"/>
      <c r="E24" s="284"/>
      <c r="F24" s="284"/>
      <c r="G24" s="284"/>
      <c r="H24" s="284"/>
      <c r="I24" s="284"/>
      <c r="J24" s="44"/>
      <c r="K24" s="120"/>
      <c r="L24" s="120"/>
      <c r="M24" s="41">
        <f t="shared" si="0"/>
        <v>0</v>
      </c>
    </row>
    <row r="25" spans="1:13" x14ac:dyDescent="0.25">
      <c r="A25" s="42" t="s">
        <v>30</v>
      </c>
      <c r="B25" s="96">
        <v>45158</v>
      </c>
      <c r="C25" s="284"/>
      <c r="D25" s="284"/>
      <c r="E25" s="284"/>
      <c r="F25" s="284"/>
      <c r="G25" s="284"/>
      <c r="H25" s="284"/>
      <c r="I25" s="284"/>
      <c r="J25" s="44"/>
      <c r="K25" s="120"/>
      <c r="L25" s="120"/>
      <c r="M25" s="41">
        <f t="shared" si="0"/>
        <v>0</v>
      </c>
    </row>
    <row r="26" spans="1:13" x14ac:dyDescent="0.25">
      <c r="A26" s="18" t="s">
        <v>64</v>
      </c>
      <c r="B26" s="95">
        <v>45159</v>
      </c>
      <c r="C26" s="194" t="s">
        <v>549</v>
      </c>
      <c r="D26" s="194"/>
      <c r="E26" s="194"/>
      <c r="F26" s="194"/>
      <c r="G26" s="194"/>
      <c r="H26" s="194"/>
      <c r="I26" s="194"/>
      <c r="J26" s="37"/>
      <c r="K26" s="21">
        <v>65.413194444444443</v>
      </c>
      <c r="L26" s="21">
        <v>96.802083333333329</v>
      </c>
      <c r="M26" s="21">
        <f>L26-K26</f>
        <v>31.388888888888886</v>
      </c>
    </row>
    <row r="27" spans="1:13" x14ac:dyDescent="0.25">
      <c r="A27" s="18" t="s">
        <v>65</v>
      </c>
      <c r="B27" s="95">
        <v>45160</v>
      </c>
      <c r="C27" s="280" t="s">
        <v>553</v>
      </c>
      <c r="D27" s="280"/>
      <c r="E27" s="280"/>
      <c r="F27" s="280"/>
      <c r="G27" s="280"/>
      <c r="H27" s="280"/>
      <c r="I27" s="280"/>
      <c r="J27" s="37"/>
      <c r="K27" s="21">
        <v>65.416666666666671</v>
      </c>
      <c r="L27" s="21">
        <v>96.826388888888886</v>
      </c>
      <c r="M27" s="21">
        <f t="shared" si="0"/>
        <v>31.409722222222214</v>
      </c>
    </row>
    <row r="28" spans="1:13" ht="15" customHeight="1" x14ac:dyDescent="0.25">
      <c r="A28" s="18" t="s">
        <v>96</v>
      </c>
      <c r="B28" s="95">
        <v>45161</v>
      </c>
      <c r="C28" s="259" t="s">
        <v>551</v>
      </c>
      <c r="D28" s="259"/>
      <c r="E28" s="259"/>
      <c r="F28" s="259"/>
      <c r="G28" s="259"/>
      <c r="H28" s="259"/>
      <c r="I28" s="259"/>
      <c r="J28" s="18"/>
      <c r="K28" s="21">
        <v>65.416666666666671</v>
      </c>
      <c r="L28" s="21">
        <v>96.854166666666671</v>
      </c>
      <c r="M28" s="21">
        <f t="shared" si="0"/>
        <v>31.4375</v>
      </c>
    </row>
    <row r="29" spans="1:13" ht="15" customHeight="1" x14ac:dyDescent="0.25">
      <c r="A29" s="18" t="s">
        <v>67</v>
      </c>
      <c r="B29" s="95">
        <v>45162</v>
      </c>
      <c r="C29" s="194" t="s">
        <v>552</v>
      </c>
      <c r="D29" s="194"/>
      <c r="E29" s="194"/>
      <c r="F29" s="194"/>
      <c r="G29" s="194"/>
      <c r="H29" s="194"/>
      <c r="I29" s="194"/>
      <c r="J29" s="18"/>
      <c r="K29" s="21">
        <v>65.423611111111114</v>
      </c>
      <c r="L29" s="21">
        <v>96.833333333333329</v>
      </c>
      <c r="M29" s="21">
        <f t="shared" si="0"/>
        <v>31.409722222222214</v>
      </c>
    </row>
    <row r="30" spans="1:13" ht="15" customHeight="1" x14ac:dyDescent="0.25">
      <c r="A30" s="18" t="s">
        <v>68</v>
      </c>
      <c r="B30" s="95">
        <v>45163</v>
      </c>
      <c r="C30" s="280" t="s">
        <v>550</v>
      </c>
      <c r="D30" s="280"/>
      <c r="E30" s="280"/>
      <c r="F30" s="280"/>
      <c r="G30" s="280"/>
      <c r="H30" s="280"/>
      <c r="I30" s="280"/>
      <c r="J30" s="18"/>
      <c r="K30" s="21">
        <v>65.506944444444443</v>
      </c>
      <c r="L30" s="21">
        <v>96.708333333333329</v>
      </c>
      <c r="M30" s="21">
        <f t="shared" si="0"/>
        <v>31.201388888888886</v>
      </c>
    </row>
    <row r="31" spans="1:13" x14ac:dyDescent="0.25">
      <c r="A31" s="42" t="s">
        <v>69</v>
      </c>
      <c r="B31" s="96">
        <v>45164</v>
      </c>
      <c r="C31" s="279"/>
      <c r="D31" s="279"/>
      <c r="E31" s="279"/>
      <c r="F31" s="279"/>
      <c r="G31" s="279"/>
      <c r="H31" s="279"/>
      <c r="I31" s="279"/>
      <c r="J31" s="42"/>
      <c r="K31" s="120"/>
      <c r="L31" s="120"/>
      <c r="M31" s="41"/>
    </row>
    <row r="32" spans="1:13" ht="15" customHeight="1" x14ac:dyDescent="0.25">
      <c r="A32" s="42" t="s">
        <v>30</v>
      </c>
      <c r="B32" s="96">
        <v>45165</v>
      </c>
      <c r="C32" s="279"/>
      <c r="D32" s="279"/>
      <c r="E32" s="279"/>
      <c r="F32" s="279"/>
      <c r="G32" s="279"/>
      <c r="H32" s="279"/>
      <c r="I32" s="279"/>
      <c r="J32" s="42"/>
      <c r="K32" s="120"/>
      <c r="L32" s="120"/>
      <c r="M32" s="41"/>
    </row>
    <row r="33" spans="1:13" x14ac:dyDescent="0.25">
      <c r="A33" s="18" t="s">
        <v>64</v>
      </c>
      <c r="B33" s="95">
        <v>45166</v>
      </c>
      <c r="C33" s="194" t="s">
        <v>554</v>
      </c>
      <c r="D33" s="194"/>
      <c r="E33" s="194"/>
      <c r="F33" s="194"/>
      <c r="G33" s="194"/>
      <c r="H33" s="194"/>
      <c r="I33" s="194"/>
      <c r="J33" s="18"/>
      <c r="K33" s="21">
        <v>65.423611111111114</v>
      </c>
      <c r="L33" s="21">
        <v>96.8125</v>
      </c>
      <c r="M33" s="21">
        <f t="shared" si="0"/>
        <v>31.388888888888886</v>
      </c>
    </row>
    <row r="34" spans="1:13" x14ac:dyDescent="0.25">
      <c r="A34" s="18" t="s">
        <v>65</v>
      </c>
      <c r="B34" s="95">
        <v>45167</v>
      </c>
      <c r="C34" s="194" t="s">
        <v>557</v>
      </c>
      <c r="D34" s="270"/>
      <c r="E34" s="270"/>
      <c r="F34" s="270"/>
      <c r="G34" s="270"/>
      <c r="H34" s="270"/>
      <c r="I34" s="270"/>
      <c r="J34" s="18"/>
      <c r="K34" s="21">
        <v>65.416666666666671</v>
      </c>
      <c r="L34" s="21">
        <v>96.826388888888886</v>
      </c>
      <c r="M34" s="21">
        <f t="shared" si="0"/>
        <v>31.409722222222214</v>
      </c>
    </row>
    <row r="35" spans="1:13" x14ac:dyDescent="0.25">
      <c r="A35" s="18" t="s">
        <v>96</v>
      </c>
      <c r="B35" s="95">
        <v>45168</v>
      </c>
      <c r="C35" s="280" t="s">
        <v>556</v>
      </c>
      <c r="D35" s="280"/>
      <c r="E35" s="280"/>
      <c r="F35" s="280"/>
      <c r="G35" s="280"/>
      <c r="H35" s="280"/>
      <c r="I35" s="280"/>
      <c r="J35" s="18"/>
      <c r="K35" s="21">
        <v>65.420138888888886</v>
      </c>
      <c r="L35" s="21">
        <v>96.791666666666671</v>
      </c>
      <c r="M35" s="21">
        <f t="shared" si="0"/>
        <v>31.371527777777786</v>
      </c>
    </row>
    <row r="36" spans="1:13" x14ac:dyDescent="0.25">
      <c r="A36" s="18" t="s">
        <v>67</v>
      </c>
      <c r="B36" s="95">
        <v>45169</v>
      </c>
      <c r="C36" s="194" t="s">
        <v>555</v>
      </c>
      <c r="D36" s="194"/>
      <c r="E36" s="194"/>
      <c r="F36" s="194"/>
      <c r="G36" s="194"/>
      <c r="H36" s="194"/>
      <c r="I36" s="194"/>
      <c r="J36" s="18"/>
      <c r="K36" s="21">
        <v>65.451388888888886</v>
      </c>
      <c r="L36" s="21">
        <v>96.791666666666671</v>
      </c>
      <c r="M36" s="21">
        <f t="shared" si="0"/>
        <v>31.340277777777786</v>
      </c>
    </row>
    <row r="37" spans="1:13" x14ac:dyDescent="0.25">
      <c r="K37" s="122"/>
    </row>
    <row r="1048574" spans="11:12" x14ac:dyDescent="0.25">
      <c r="K1048574" s="21">
        <v>0.41666666666666669</v>
      </c>
      <c r="L1048574" s="21">
        <v>0.75</v>
      </c>
    </row>
  </sheetData>
  <mergeCells count="38">
    <mergeCell ref="C6:I6"/>
    <mergeCell ref="C7:I7"/>
    <mergeCell ref="C8:I8"/>
    <mergeCell ref="C9:I9"/>
    <mergeCell ref="C5:J5"/>
    <mergeCell ref="B1:M1"/>
    <mergeCell ref="C2:E2"/>
    <mergeCell ref="G2:M2"/>
    <mergeCell ref="C3:E3"/>
    <mergeCell ref="G3:M3"/>
    <mergeCell ref="C10:I10"/>
    <mergeCell ref="C19:I19"/>
    <mergeCell ref="C20:I20"/>
    <mergeCell ref="C21:I21"/>
    <mergeCell ref="C22:I22"/>
    <mergeCell ref="C17:I17"/>
    <mergeCell ref="C16:I16"/>
    <mergeCell ref="C11:I11"/>
    <mergeCell ref="C12:I12"/>
    <mergeCell ref="C13:I13"/>
    <mergeCell ref="C14:I14"/>
    <mergeCell ref="C15:I15"/>
    <mergeCell ref="A1:A5"/>
    <mergeCell ref="C33:I33"/>
    <mergeCell ref="C34:I34"/>
    <mergeCell ref="C35:I35"/>
    <mergeCell ref="C36:I36"/>
    <mergeCell ref="C29:I29"/>
    <mergeCell ref="C30:I30"/>
    <mergeCell ref="C31:I31"/>
    <mergeCell ref="C32:I32"/>
    <mergeCell ref="C23:I23"/>
    <mergeCell ref="C24:I24"/>
    <mergeCell ref="C25:I25"/>
    <mergeCell ref="C26:I26"/>
    <mergeCell ref="C28:I28"/>
    <mergeCell ref="C27:I27"/>
    <mergeCell ref="C18:I18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B1ED-F900-4024-8835-512AC88A7BE4}">
  <dimension ref="A1:M1048574"/>
  <sheetViews>
    <sheetView topLeftCell="C1" zoomScaleNormal="100" workbookViewId="0">
      <selection activeCell="C36" sqref="C36:I36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5" max="5" width="23.85546875" customWidth="1"/>
    <col min="6" max="6" width="54.140625" customWidth="1"/>
    <col min="9" max="9" width="38" customWidth="1"/>
    <col min="11" max="11" width="11.5703125" style="102" bestFit="1" customWidth="1"/>
    <col min="12" max="12" width="9.140625" style="23"/>
    <col min="13" max="13" width="10.28515625" bestFit="1" customWidth="1"/>
  </cols>
  <sheetData>
    <row r="1" spans="1:13" ht="18.75" x14ac:dyDescent="0.3">
      <c r="A1" s="18"/>
      <c r="B1" s="285" t="s">
        <v>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x14ac:dyDescent="0.25">
      <c r="A2" s="18"/>
      <c r="B2" s="79" t="s">
        <v>1</v>
      </c>
      <c r="C2" s="286" t="s">
        <v>34</v>
      </c>
      <c r="D2" s="286"/>
      <c r="E2" s="286"/>
      <c r="F2" s="79" t="s">
        <v>8</v>
      </c>
      <c r="G2" s="286" t="s">
        <v>521</v>
      </c>
      <c r="H2" s="286"/>
      <c r="I2" s="286"/>
      <c r="J2" s="286"/>
      <c r="K2" s="286"/>
      <c r="L2" s="286"/>
      <c r="M2" s="286"/>
    </row>
    <row r="3" spans="1:13" x14ac:dyDescent="0.25">
      <c r="A3" s="18"/>
      <c r="B3" s="79" t="s">
        <v>2</v>
      </c>
      <c r="C3" s="286" t="s">
        <v>36</v>
      </c>
      <c r="D3" s="286"/>
      <c r="E3" s="286"/>
      <c r="F3" s="79" t="s">
        <v>3</v>
      </c>
      <c r="G3" s="286" t="s">
        <v>13</v>
      </c>
      <c r="H3" s="286"/>
      <c r="I3" s="286"/>
      <c r="J3" s="286"/>
      <c r="K3" s="286"/>
      <c r="L3" s="286"/>
      <c r="M3" s="286"/>
    </row>
    <row r="4" spans="1:13" x14ac:dyDescent="0.25">
      <c r="A4" s="18"/>
      <c r="B4" s="80"/>
      <c r="C4" s="80"/>
      <c r="D4" s="80"/>
      <c r="E4" s="80"/>
      <c r="F4" s="80"/>
      <c r="G4" s="80"/>
      <c r="H4" s="80"/>
      <c r="I4" s="80"/>
      <c r="J4" s="80"/>
      <c r="K4" s="98"/>
      <c r="L4" s="82"/>
      <c r="M4" s="82"/>
    </row>
    <row r="5" spans="1:13" x14ac:dyDescent="0.25">
      <c r="A5" s="18"/>
      <c r="B5" s="83" t="s">
        <v>7</v>
      </c>
      <c r="C5" s="287" t="s">
        <v>4</v>
      </c>
      <c r="D5" s="287"/>
      <c r="E5" s="287"/>
      <c r="F5" s="287"/>
      <c r="G5" s="287"/>
      <c r="H5" s="287"/>
      <c r="I5" s="287"/>
      <c r="J5" s="287"/>
      <c r="K5" s="99" t="s">
        <v>5</v>
      </c>
      <c r="L5" s="85" t="s">
        <v>6</v>
      </c>
      <c r="M5" s="83" t="s">
        <v>491</v>
      </c>
    </row>
    <row r="6" spans="1:13" ht="15" customHeight="1" x14ac:dyDescent="0.25">
      <c r="A6" s="42" t="s">
        <v>69</v>
      </c>
      <c r="B6" s="96">
        <v>45108</v>
      </c>
      <c r="C6" s="283" t="s">
        <v>69</v>
      </c>
      <c r="D6" s="283"/>
      <c r="E6" s="283"/>
      <c r="F6" s="283"/>
      <c r="G6" s="283"/>
      <c r="H6" s="283"/>
      <c r="I6" s="283"/>
      <c r="J6" s="38"/>
      <c r="K6" s="41"/>
      <c r="L6" s="41"/>
      <c r="M6" s="41"/>
    </row>
    <row r="7" spans="1:13" ht="15" customHeight="1" x14ac:dyDescent="0.25">
      <c r="A7" s="42" t="s">
        <v>30</v>
      </c>
      <c r="B7" s="96">
        <v>45109</v>
      </c>
      <c r="C7" s="283" t="s">
        <v>30</v>
      </c>
      <c r="D7" s="283"/>
      <c r="E7" s="283"/>
      <c r="F7" s="283"/>
      <c r="G7" s="283"/>
      <c r="H7" s="283"/>
      <c r="I7" s="283"/>
      <c r="J7" s="42"/>
      <c r="K7" s="41"/>
      <c r="L7" s="41"/>
      <c r="M7" s="41"/>
    </row>
    <row r="8" spans="1:13" ht="15" customHeight="1" x14ac:dyDescent="0.25">
      <c r="A8" s="18" t="s">
        <v>64</v>
      </c>
      <c r="B8" s="95">
        <v>45110</v>
      </c>
      <c r="C8" s="194" t="s">
        <v>520</v>
      </c>
      <c r="D8" s="194"/>
      <c r="E8" s="194"/>
      <c r="F8" s="194"/>
      <c r="G8" s="194"/>
      <c r="H8" s="194"/>
      <c r="I8" s="194"/>
      <c r="J8" s="18"/>
      <c r="K8" s="21">
        <v>65.392361111111114</v>
      </c>
      <c r="L8" s="21">
        <v>96.795138888888886</v>
      </c>
      <c r="M8" s="21">
        <f t="shared" ref="M8:M36" si="0">L8-K8</f>
        <v>31.402777777777771</v>
      </c>
    </row>
    <row r="9" spans="1:13" x14ac:dyDescent="0.25">
      <c r="A9" s="18" t="s">
        <v>65</v>
      </c>
      <c r="B9" s="95">
        <v>45111</v>
      </c>
      <c r="C9" s="194" t="s">
        <v>519</v>
      </c>
      <c r="D9" s="194"/>
      <c r="E9" s="194"/>
      <c r="F9" s="194"/>
      <c r="G9" s="194"/>
      <c r="H9" s="194"/>
      <c r="I9" s="194"/>
      <c r="J9" s="18"/>
      <c r="K9" s="21">
        <v>65.416666666666671</v>
      </c>
      <c r="L9" s="21">
        <v>65.895833333333329</v>
      </c>
      <c r="M9" s="21">
        <f t="shared" si="0"/>
        <v>0.47916666666665719</v>
      </c>
    </row>
    <row r="10" spans="1:13" ht="15" customHeight="1" x14ac:dyDescent="0.25">
      <c r="A10" s="18" t="s">
        <v>96</v>
      </c>
      <c r="B10" s="95">
        <v>45112</v>
      </c>
      <c r="C10" s="194" t="s">
        <v>518</v>
      </c>
      <c r="D10" s="194"/>
      <c r="E10" s="194"/>
      <c r="F10" s="194"/>
      <c r="G10" s="194"/>
      <c r="H10" s="194"/>
      <c r="I10" s="194"/>
      <c r="J10" s="77"/>
      <c r="K10" s="21">
        <v>65.402777777777771</v>
      </c>
      <c r="L10" s="21">
        <v>96.822916666666671</v>
      </c>
      <c r="M10" s="21">
        <f t="shared" si="0"/>
        <v>31.4201388888889</v>
      </c>
    </row>
    <row r="11" spans="1:13" x14ac:dyDescent="0.25">
      <c r="A11" s="18" t="s">
        <v>67</v>
      </c>
      <c r="B11" s="95">
        <v>45113</v>
      </c>
      <c r="C11" s="282" t="s">
        <v>516</v>
      </c>
      <c r="D11" s="282"/>
      <c r="E11" s="282"/>
      <c r="F11" s="282"/>
      <c r="G11" s="282"/>
      <c r="H11" s="282"/>
      <c r="I11" s="282"/>
      <c r="J11" s="77"/>
      <c r="K11" s="21">
        <v>65.409722222222229</v>
      </c>
      <c r="L11" s="21">
        <v>96.822916666666671</v>
      </c>
      <c r="M11" s="21">
        <f t="shared" si="0"/>
        <v>31.413194444444443</v>
      </c>
    </row>
    <row r="12" spans="1:13" x14ac:dyDescent="0.25">
      <c r="A12" s="18" t="s">
        <v>68</v>
      </c>
      <c r="B12" s="95">
        <v>45114</v>
      </c>
      <c r="C12" s="282" t="s">
        <v>517</v>
      </c>
      <c r="D12" s="282"/>
      <c r="E12" s="282"/>
      <c r="F12" s="282"/>
      <c r="G12" s="282"/>
      <c r="H12" s="282"/>
      <c r="I12" s="282"/>
      <c r="J12" s="77"/>
      <c r="K12" s="21">
        <v>65.416666666666671</v>
      </c>
      <c r="L12" s="21">
        <v>96.8125</v>
      </c>
      <c r="M12" s="21">
        <f t="shared" si="0"/>
        <v>31.395833333333329</v>
      </c>
    </row>
    <row r="13" spans="1:13" ht="15" customHeight="1" x14ac:dyDescent="0.25">
      <c r="A13" s="42" t="s">
        <v>69</v>
      </c>
      <c r="B13" s="96">
        <v>45115</v>
      </c>
      <c r="C13" s="279" t="s">
        <v>515</v>
      </c>
      <c r="D13" s="279"/>
      <c r="E13" s="279"/>
      <c r="F13" s="279"/>
      <c r="G13" s="279"/>
      <c r="H13" s="279"/>
      <c r="I13" s="279"/>
      <c r="J13" s="78"/>
      <c r="K13" s="41"/>
      <c r="L13" s="41"/>
      <c r="M13" s="41"/>
    </row>
    <row r="14" spans="1:13" x14ac:dyDescent="0.25">
      <c r="A14" s="42" t="s">
        <v>30</v>
      </c>
      <c r="B14" s="96">
        <v>45116</v>
      </c>
      <c r="C14" s="283" t="s">
        <v>30</v>
      </c>
      <c r="D14" s="283"/>
      <c r="E14" s="283"/>
      <c r="F14" s="283"/>
      <c r="G14" s="283"/>
      <c r="H14" s="283"/>
      <c r="I14" s="283"/>
      <c r="J14" s="42"/>
      <c r="K14" s="41"/>
      <c r="L14" s="41"/>
      <c r="M14" s="41"/>
    </row>
    <row r="15" spans="1:13" ht="15" customHeight="1" x14ac:dyDescent="0.25">
      <c r="A15" s="18" t="s">
        <v>64</v>
      </c>
      <c r="B15" s="95">
        <v>45117</v>
      </c>
      <c r="C15" s="259" t="s">
        <v>523</v>
      </c>
      <c r="D15" s="259"/>
      <c r="E15" s="259"/>
      <c r="F15" s="259"/>
      <c r="G15" s="259"/>
      <c r="H15" s="259"/>
      <c r="I15" s="259"/>
      <c r="J15" s="18"/>
      <c r="K15" s="21">
        <v>65.416666666666671</v>
      </c>
      <c r="L15" s="21">
        <v>96.809027777777771</v>
      </c>
      <c r="M15" s="21">
        <f t="shared" si="0"/>
        <v>31.3923611111111</v>
      </c>
    </row>
    <row r="16" spans="1:13" ht="15" customHeight="1" x14ac:dyDescent="0.25">
      <c r="A16" s="18" t="s">
        <v>65</v>
      </c>
      <c r="B16" s="95">
        <v>45118</v>
      </c>
      <c r="C16" s="259" t="s">
        <v>522</v>
      </c>
      <c r="D16" s="259"/>
      <c r="E16" s="259"/>
      <c r="F16" s="259"/>
      <c r="G16" s="259"/>
      <c r="H16" s="259"/>
      <c r="I16" s="259"/>
      <c r="J16" s="18"/>
      <c r="K16" s="21">
        <v>65.420138888888886</v>
      </c>
      <c r="L16" s="21">
        <v>96.802083333333329</v>
      </c>
      <c r="M16" s="21">
        <f t="shared" si="0"/>
        <v>31.381944444444443</v>
      </c>
    </row>
    <row r="17" spans="1:13" x14ac:dyDescent="0.25">
      <c r="A17" s="18" t="s">
        <v>96</v>
      </c>
      <c r="B17" s="95">
        <v>45119</v>
      </c>
      <c r="C17" s="259" t="s">
        <v>524</v>
      </c>
      <c r="D17" s="259"/>
      <c r="E17" s="259"/>
      <c r="F17" s="259"/>
      <c r="G17" s="259"/>
      <c r="H17" s="259"/>
      <c r="I17" s="259"/>
      <c r="J17" s="77"/>
      <c r="K17" s="21">
        <v>65.420138888888886</v>
      </c>
      <c r="L17" s="21">
        <v>96.802083333333329</v>
      </c>
      <c r="M17" s="21">
        <f t="shared" si="0"/>
        <v>31.381944444444443</v>
      </c>
    </row>
    <row r="18" spans="1:13" ht="15" customHeight="1" x14ac:dyDescent="0.25">
      <c r="A18" s="18" t="s">
        <v>67</v>
      </c>
      <c r="B18" s="95">
        <v>45120</v>
      </c>
      <c r="C18" s="259" t="s">
        <v>525</v>
      </c>
      <c r="D18" s="259"/>
      <c r="E18" s="259"/>
      <c r="F18" s="259"/>
      <c r="G18" s="259"/>
      <c r="H18" s="259"/>
      <c r="I18" s="259"/>
      <c r="J18" s="77"/>
      <c r="K18" s="21">
        <v>65.413194444444443</v>
      </c>
      <c r="L18" s="21">
        <v>96.71875</v>
      </c>
      <c r="M18" s="21">
        <f t="shared" si="0"/>
        <v>31.305555555555557</v>
      </c>
    </row>
    <row r="19" spans="1:13" ht="15" customHeight="1" x14ac:dyDescent="0.25">
      <c r="A19" s="18" t="s">
        <v>68</v>
      </c>
      <c r="B19" s="95">
        <v>45121</v>
      </c>
      <c r="C19" s="259" t="s">
        <v>526</v>
      </c>
      <c r="D19" s="259"/>
      <c r="E19" s="259"/>
      <c r="F19" s="259"/>
      <c r="G19" s="259"/>
      <c r="H19" s="259"/>
      <c r="I19" s="259"/>
      <c r="J19" s="18"/>
      <c r="K19" s="294" t="s">
        <v>171</v>
      </c>
      <c r="L19" s="295"/>
      <c r="M19" s="296"/>
    </row>
    <row r="20" spans="1:13" ht="15" customHeight="1" x14ac:dyDescent="0.25">
      <c r="A20" s="42" t="s">
        <v>69</v>
      </c>
      <c r="B20" s="96">
        <v>45122</v>
      </c>
      <c r="C20" s="283" t="s">
        <v>69</v>
      </c>
      <c r="D20" s="283"/>
      <c r="E20" s="283"/>
      <c r="F20" s="283"/>
      <c r="G20" s="283"/>
      <c r="H20" s="283"/>
      <c r="I20" s="283"/>
      <c r="J20" s="42"/>
      <c r="K20" s="41"/>
      <c r="L20" s="41"/>
      <c r="M20" s="41"/>
    </row>
    <row r="21" spans="1:13" x14ac:dyDescent="0.25">
      <c r="A21" s="42" t="s">
        <v>30</v>
      </c>
      <c r="B21" s="96">
        <v>45123</v>
      </c>
      <c r="C21" s="283" t="s">
        <v>30</v>
      </c>
      <c r="D21" s="283"/>
      <c r="E21" s="283"/>
      <c r="F21" s="283"/>
      <c r="G21" s="283"/>
      <c r="H21" s="283"/>
      <c r="I21" s="283"/>
      <c r="J21" s="42"/>
      <c r="K21" s="41"/>
      <c r="L21" s="41"/>
      <c r="M21" s="41"/>
    </row>
    <row r="22" spans="1:13" x14ac:dyDescent="0.25">
      <c r="A22" s="18" t="s">
        <v>64</v>
      </c>
      <c r="B22" s="95">
        <v>45124</v>
      </c>
      <c r="C22" s="194" t="s">
        <v>527</v>
      </c>
      <c r="D22" s="194"/>
      <c r="E22" s="194"/>
      <c r="F22" s="194"/>
      <c r="G22" s="194"/>
      <c r="H22" s="194"/>
      <c r="I22" s="194"/>
      <c r="J22" s="18"/>
      <c r="K22" s="21">
        <v>65.277777777777771</v>
      </c>
      <c r="L22" s="21">
        <v>96.791666666666671</v>
      </c>
      <c r="M22" s="21">
        <f t="shared" si="0"/>
        <v>31.5138888888889</v>
      </c>
    </row>
    <row r="23" spans="1:13" x14ac:dyDescent="0.25">
      <c r="A23" s="18" t="s">
        <v>65</v>
      </c>
      <c r="B23" s="95">
        <v>45125</v>
      </c>
      <c r="C23" s="194" t="s">
        <v>527</v>
      </c>
      <c r="D23" s="194"/>
      <c r="E23" s="194"/>
      <c r="F23" s="194"/>
      <c r="G23" s="194"/>
      <c r="H23" s="194"/>
      <c r="I23" s="194"/>
      <c r="J23" s="18"/>
      <c r="K23" s="21">
        <v>65.465277777777771</v>
      </c>
      <c r="L23" s="21">
        <v>96.791666666666671</v>
      </c>
      <c r="M23" s="21">
        <f t="shared" si="0"/>
        <v>31.3263888888889</v>
      </c>
    </row>
    <row r="24" spans="1:13" x14ac:dyDescent="0.25">
      <c r="A24" s="18" t="s">
        <v>96</v>
      </c>
      <c r="B24" s="95">
        <v>45126</v>
      </c>
      <c r="C24" s="259" t="s">
        <v>530</v>
      </c>
      <c r="D24" s="259"/>
      <c r="E24" s="259"/>
      <c r="F24" s="259"/>
      <c r="G24" s="259"/>
      <c r="H24" s="259"/>
      <c r="I24" s="259"/>
      <c r="J24" s="37"/>
      <c r="K24" s="247" t="s">
        <v>171</v>
      </c>
      <c r="L24" s="248"/>
      <c r="M24" s="249"/>
    </row>
    <row r="25" spans="1:13" x14ac:dyDescent="0.25">
      <c r="A25" s="18" t="s">
        <v>67</v>
      </c>
      <c r="B25" s="95">
        <v>45127</v>
      </c>
      <c r="C25" s="259" t="s">
        <v>528</v>
      </c>
      <c r="D25" s="259"/>
      <c r="E25" s="259"/>
      <c r="F25" s="259"/>
      <c r="G25" s="259"/>
      <c r="H25" s="259"/>
      <c r="I25" s="259"/>
      <c r="J25" s="37"/>
      <c r="K25" s="253"/>
      <c r="L25" s="254"/>
      <c r="M25" s="255"/>
    </row>
    <row r="26" spans="1:13" x14ac:dyDescent="0.25">
      <c r="A26" s="18" t="s">
        <v>68</v>
      </c>
      <c r="B26" s="95">
        <v>45128</v>
      </c>
      <c r="C26" s="194" t="s">
        <v>529</v>
      </c>
      <c r="D26" s="194"/>
      <c r="E26" s="194"/>
      <c r="F26" s="194"/>
      <c r="G26" s="194"/>
      <c r="H26" s="194"/>
      <c r="I26" s="194"/>
      <c r="J26" s="37"/>
      <c r="K26" s="21">
        <v>65.458333333333329</v>
      </c>
      <c r="L26" s="21">
        <v>96.8125</v>
      </c>
      <c r="M26" s="21">
        <f t="shared" si="0"/>
        <v>31.354166666666671</v>
      </c>
    </row>
    <row r="27" spans="1:13" x14ac:dyDescent="0.25">
      <c r="A27" s="42" t="s">
        <v>69</v>
      </c>
      <c r="B27" s="96">
        <v>45129</v>
      </c>
      <c r="C27" s="284" t="s">
        <v>69</v>
      </c>
      <c r="D27" s="284"/>
      <c r="E27" s="284"/>
      <c r="F27" s="284"/>
      <c r="G27" s="284"/>
      <c r="H27" s="284"/>
      <c r="I27" s="284"/>
      <c r="J27" s="44"/>
      <c r="K27" s="120"/>
      <c r="L27" s="120"/>
      <c r="M27" s="41"/>
    </row>
    <row r="28" spans="1:13" ht="15" customHeight="1" x14ac:dyDescent="0.25">
      <c r="A28" s="42" t="s">
        <v>30</v>
      </c>
      <c r="B28" s="96">
        <v>45130</v>
      </c>
      <c r="C28" s="279" t="s">
        <v>30</v>
      </c>
      <c r="D28" s="279"/>
      <c r="E28" s="279"/>
      <c r="F28" s="279"/>
      <c r="G28" s="279"/>
      <c r="H28" s="279"/>
      <c r="I28" s="279"/>
      <c r="J28" s="42"/>
      <c r="K28" s="41"/>
      <c r="L28" s="41"/>
      <c r="M28" s="41"/>
    </row>
    <row r="29" spans="1:13" ht="15" customHeight="1" x14ac:dyDescent="0.25">
      <c r="A29" s="18" t="s">
        <v>64</v>
      </c>
      <c r="B29" s="95">
        <v>45131</v>
      </c>
      <c r="C29" s="194" t="s">
        <v>534</v>
      </c>
      <c r="D29" s="194"/>
      <c r="E29" s="194"/>
      <c r="F29" s="194"/>
      <c r="G29" s="194"/>
      <c r="H29" s="194"/>
      <c r="I29" s="194"/>
      <c r="J29" s="18"/>
      <c r="K29" s="21">
        <v>65.405555555555551</v>
      </c>
      <c r="L29" s="21">
        <v>96.729166666666671</v>
      </c>
      <c r="M29" s="21">
        <f t="shared" si="0"/>
        <v>31.32361111111112</v>
      </c>
    </row>
    <row r="30" spans="1:13" ht="15" customHeight="1" x14ac:dyDescent="0.25">
      <c r="A30" s="18" t="s">
        <v>65</v>
      </c>
      <c r="B30" s="95">
        <v>45132</v>
      </c>
      <c r="C30" s="291" t="s">
        <v>532</v>
      </c>
      <c r="D30" s="292"/>
      <c r="E30" s="292"/>
      <c r="F30" s="292"/>
      <c r="G30" s="292"/>
      <c r="H30" s="292"/>
      <c r="I30" s="293"/>
      <c r="J30" s="18"/>
      <c r="K30" s="21">
        <v>65.420138888888886</v>
      </c>
      <c r="L30" s="21">
        <v>96.805555555555557</v>
      </c>
      <c r="M30" s="21">
        <f t="shared" si="0"/>
        <v>31.385416666666671</v>
      </c>
    </row>
    <row r="31" spans="1:13" x14ac:dyDescent="0.25">
      <c r="A31" s="18" t="s">
        <v>96</v>
      </c>
      <c r="B31" s="95">
        <v>45133</v>
      </c>
      <c r="C31" s="194" t="s">
        <v>531</v>
      </c>
      <c r="D31" s="194"/>
      <c r="E31" s="194"/>
      <c r="F31" s="194"/>
      <c r="G31" s="194"/>
      <c r="H31" s="194"/>
      <c r="I31" s="194"/>
      <c r="J31" s="18"/>
      <c r="K31" s="21">
        <v>65.416666666666671</v>
      </c>
      <c r="L31" s="21">
        <v>96.78125</v>
      </c>
      <c r="M31" s="21">
        <f t="shared" si="0"/>
        <v>31.364583333333329</v>
      </c>
    </row>
    <row r="32" spans="1:13" ht="15" customHeight="1" x14ac:dyDescent="0.25">
      <c r="A32" s="18" t="s">
        <v>67</v>
      </c>
      <c r="B32" s="95">
        <v>45134</v>
      </c>
      <c r="C32" s="194" t="s">
        <v>533</v>
      </c>
      <c r="D32" s="194"/>
      <c r="E32" s="194"/>
      <c r="F32" s="194"/>
      <c r="G32" s="194"/>
      <c r="H32" s="194"/>
      <c r="I32" s="194"/>
      <c r="J32" s="18"/>
      <c r="K32" s="294" t="s">
        <v>171</v>
      </c>
      <c r="L32" s="295"/>
      <c r="M32" s="296"/>
    </row>
    <row r="33" spans="1:13" x14ac:dyDescent="0.25">
      <c r="A33" s="18" t="s">
        <v>68</v>
      </c>
      <c r="B33" s="95">
        <v>45135</v>
      </c>
      <c r="C33" s="194" t="s">
        <v>535</v>
      </c>
      <c r="D33" s="194"/>
      <c r="E33" s="194"/>
      <c r="F33" s="194"/>
      <c r="G33" s="194"/>
      <c r="H33" s="194"/>
      <c r="I33" s="194"/>
      <c r="J33" s="18"/>
      <c r="K33" s="21">
        <v>65.427083333333329</v>
      </c>
      <c r="L33" s="21">
        <v>96.78125</v>
      </c>
      <c r="M33" s="21">
        <f t="shared" si="0"/>
        <v>31.354166666666671</v>
      </c>
    </row>
    <row r="34" spans="1:13" x14ac:dyDescent="0.25">
      <c r="A34" s="42" t="s">
        <v>69</v>
      </c>
      <c r="B34" s="96">
        <v>45136</v>
      </c>
      <c r="C34" s="279"/>
      <c r="D34" s="297"/>
      <c r="E34" s="297"/>
      <c r="F34" s="297"/>
      <c r="G34" s="297"/>
      <c r="H34" s="297"/>
      <c r="I34" s="297"/>
      <c r="J34" s="42"/>
      <c r="K34" s="41"/>
      <c r="L34" s="41"/>
      <c r="M34" s="41"/>
    </row>
    <row r="35" spans="1:13" x14ac:dyDescent="0.25">
      <c r="A35" s="42" t="s">
        <v>30</v>
      </c>
      <c r="B35" s="96">
        <v>45137</v>
      </c>
      <c r="C35" s="288"/>
      <c r="D35" s="289"/>
      <c r="E35" s="289"/>
      <c r="F35" s="289"/>
      <c r="G35" s="289"/>
      <c r="H35" s="289"/>
      <c r="I35" s="290"/>
      <c r="J35" s="42"/>
      <c r="K35" s="121"/>
      <c r="L35" s="48"/>
      <c r="M35" s="41"/>
    </row>
    <row r="36" spans="1:13" x14ac:dyDescent="0.25">
      <c r="A36" s="18" t="s">
        <v>64</v>
      </c>
      <c r="B36" s="95">
        <v>45138</v>
      </c>
      <c r="C36" s="194" t="s">
        <v>536</v>
      </c>
      <c r="D36" s="194"/>
      <c r="E36" s="194"/>
      <c r="F36" s="194"/>
      <c r="G36" s="194"/>
      <c r="H36" s="194"/>
      <c r="I36" s="194"/>
      <c r="J36" s="18"/>
      <c r="K36" s="21">
        <v>65.420138888888886</v>
      </c>
      <c r="L36" s="21">
        <v>96.805555555555557</v>
      </c>
      <c r="M36" s="21">
        <f t="shared" si="0"/>
        <v>31.385416666666671</v>
      </c>
    </row>
    <row r="1048574" spans="11:12" x14ac:dyDescent="0.25">
      <c r="K1048574" s="21">
        <v>0.41666666666666669</v>
      </c>
      <c r="L1048574" s="21">
        <v>0.75</v>
      </c>
    </row>
  </sheetData>
  <mergeCells count="40">
    <mergeCell ref="K19:M19"/>
    <mergeCell ref="K24:M25"/>
    <mergeCell ref="K32:M32"/>
    <mergeCell ref="C33:I33"/>
    <mergeCell ref="C34:I34"/>
    <mergeCell ref="C26:I26"/>
    <mergeCell ref="C20:I20"/>
    <mergeCell ref="C21:I21"/>
    <mergeCell ref="C22:I22"/>
    <mergeCell ref="C23:I23"/>
    <mergeCell ref="C24:I24"/>
    <mergeCell ref="C25:I25"/>
    <mergeCell ref="C35:I35"/>
    <mergeCell ref="C36:I36"/>
    <mergeCell ref="C27:I27"/>
    <mergeCell ref="C28:I28"/>
    <mergeCell ref="C29:I29"/>
    <mergeCell ref="C31:I31"/>
    <mergeCell ref="C32:I32"/>
    <mergeCell ref="C30:I30"/>
    <mergeCell ref="C15:I15"/>
    <mergeCell ref="C16:I16"/>
    <mergeCell ref="C17:I17"/>
    <mergeCell ref="C18:I18"/>
    <mergeCell ref="C19:I19"/>
    <mergeCell ref="C10:I10"/>
    <mergeCell ref="C11:I11"/>
    <mergeCell ref="C12:I12"/>
    <mergeCell ref="C13:I13"/>
    <mergeCell ref="C14:I14"/>
    <mergeCell ref="C6:I6"/>
    <mergeCell ref="C7:I7"/>
    <mergeCell ref="C8:I8"/>
    <mergeCell ref="C9:I9"/>
    <mergeCell ref="B1:M1"/>
    <mergeCell ref="C2:E2"/>
    <mergeCell ref="G2:M2"/>
    <mergeCell ref="C3:E3"/>
    <mergeCell ref="G3:M3"/>
    <mergeCell ref="C5:J5"/>
  </mergeCells>
  <phoneticPr fontId="6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FCFC-4B61-4138-ACFA-EDC881D7613E}">
  <dimension ref="A1:M1048576"/>
  <sheetViews>
    <sheetView topLeftCell="A8" zoomScaleNormal="100" workbookViewId="0">
      <selection activeCell="C36" sqref="C36:I36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5" max="5" width="23.85546875" customWidth="1"/>
    <col min="6" max="6" width="54.140625" customWidth="1"/>
    <col min="9" max="9" width="36.140625" customWidth="1"/>
    <col min="11" max="11" width="11.5703125" style="102" bestFit="1" customWidth="1"/>
    <col min="12" max="12" width="9.140625" style="23"/>
    <col min="13" max="13" width="10.28515625" bestFit="1" customWidth="1"/>
  </cols>
  <sheetData>
    <row r="1" spans="1:13" ht="18.75" x14ac:dyDescent="0.3">
      <c r="A1" s="18"/>
      <c r="B1" s="285" t="s">
        <v>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x14ac:dyDescent="0.25">
      <c r="A2" s="18"/>
      <c r="B2" s="79" t="s">
        <v>1</v>
      </c>
      <c r="C2" s="286" t="s">
        <v>34</v>
      </c>
      <c r="D2" s="286"/>
      <c r="E2" s="286"/>
      <c r="F2" s="79" t="s">
        <v>8</v>
      </c>
      <c r="G2" s="286" t="s">
        <v>35</v>
      </c>
      <c r="H2" s="286"/>
      <c r="I2" s="286"/>
      <c r="J2" s="286"/>
      <c r="K2" s="286"/>
      <c r="L2" s="286"/>
      <c r="M2" s="286"/>
    </row>
    <row r="3" spans="1:13" x14ac:dyDescent="0.25">
      <c r="A3" s="18"/>
      <c r="B3" s="79" t="s">
        <v>2</v>
      </c>
      <c r="C3" s="286" t="s">
        <v>36</v>
      </c>
      <c r="D3" s="286"/>
      <c r="E3" s="286"/>
      <c r="F3" s="79" t="s">
        <v>3</v>
      </c>
      <c r="G3" s="286" t="s">
        <v>13</v>
      </c>
      <c r="H3" s="286"/>
      <c r="I3" s="286"/>
      <c r="J3" s="286"/>
      <c r="K3" s="286"/>
      <c r="L3" s="286"/>
      <c r="M3" s="286"/>
    </row>
    <row r="4" spans="1:13" x14ac:dyDescent="0.25">
      <c r="A4" s="18"/>
      <c r="B4" s="80"/>
      <c r="C4" s="80"/>
      <c r="D4" s="80"/>
      <c r="E4" s="80"/>
      <c r="F4" s="80"/>
      <c r="G4" s="80"/>
      <c r="H4" s="80"/>
      <c r="I4" s="80"/>
      <c r="J4" s="80"/>
      <c r="K4" s="98"/>
      <c r="L4" s="82"/>
      <c r="M4" s="82"/>
    </row>
    <row r="5" spans="1:13" x14ac:dyDescent="0.25">
      <c r="A5" s="18"/>
      <c r="B5" s="83" t="s">
        <v>7</v>
      </c>
      <c r="C5" s="287" t="s">
        <v>4</v>
      </c>
      <c r="D5" s="287"/>
      <c r="E5" s="287"/>
      <c r="F5" s="287"/>
      <c r="G5" s="287"/>
      <c r="H5" s="287"/>
      <c r="I5" s="287"/>
      <c r="J5" s="287"/>
      <c r="K5" s="99" t="s">
        <v>5</v>
      </c>
      <c r="L5" s="85" t="s">
        <v>6</v>
      </c>
      <c r="M5" s="83" t="s">
        <v>491</v>
      </c>
    </row>
    <row r="6" spans="1:13" x14ac:dyDescent="0.25">
      <c r="A6" t="s">
        <v>67</v>
      </c>
      <c r="B6" s="95">
        <v>45078</v>
      </c>
      <c r="C6" s="299" t="s">
        <v>502</v>
      </c>
      <c r="D6" s="300"/>
      <c r="E6" s="300"/>
      <c r="F6" s="300"/>
      <c r="G6" s="300"/>
      <c r="H6" s="300"/>
      <c r="I6" s="301"/>
      <c r="J6" s="11"/>
      <c r="K6" s="21">
        <v>1.7291666666666665</v>
      </c>
      <c r="L6" s="21">
        <v>1.8333333333333335</v>
      </c>
      <c r="M6" s="21">
        <f t="shared" ref="M6:M7" si="0">L6-K6</f>
        <v>0.10416666666666696</v>
      </c>
    </row>
    <row r="7" spans="1:13" x14ac:dyDescent="0.25">
      <c r="A7" t="s">
        <v>68</v>
      </c>
      <c r="B7" s="95">
        <v>45079</v>
      </c>
      <c r="C7" s="302" t="s">
        <v>501</v>
      </c>
      <c r="D7" s="303"/>
      <c r="E7" s="303"/>
      <c r="F7" s="303"/>
      <c r="G7" s="303"/>
      <c r="H7" s="303"/>
      <c r="I7" s="304"/>
      <c r="J7" s="11"/>
      <c r="K7" s="21">
        <v>65.416666666666671</v>
      </c>
      <c r="L7" s="21">
        <v>96.805555555555557</v>
      </c>
      <c r="M7" s="21">
        <f t="shared" si="0"/>
        <v>31.388888888888886</v>
      </c>
    </row>
    <row r="8" spans="1:13" ht="15" customHeight="1" x14ac:dyDescent="0.25">
      <c r="A8" s="61" t="s">
        <v>69</v>
      </c>
      <c r="B8" s="96">
        <v>45080</v>
      </c>
      <c r="C8" s="283" t="s">
        <v>69</v>
      </c>
      <c r="D8" s="283"/>
      <c r="E8" s="283"/>
      <c r="F8" s="283"/>
      <c r="G8" s="283"/>
      <c r="H8" s="283"/>
      <c r="I8" s="283"/>
      <c r="J8" s="38"/>
      <c r="K8" s="41"/>
      <c r="L8" s="41"/>
      <c r="M8" s="41"/>
    </row>
    <row r="9" spans="1:13" ht="15" customHeight="1" x14ac:dyDescent="0.25">
      <c r="A9" s="61" t="s">
        <v>30</v>
      </c>
      <c r="B9" s="96">
        <v>45081</v>
      </c>
      <c r="C9" s="283" t="s">
        <v>30</v>
      </c>
      <c r="D9" s="283"/>
      <c r="E9" s="283"/>
      <c r="F9" s="283"/>
      <c r="G9" s="283"/>
      <c r="H9" s="283"/>
      <c r="I9" s="283"/>
      <c r="J9" s="42"/>
      <c r="K9" s="41"/>
      <c r="L9" s="41"/>
      <c r="M9" s="41"/>
    </row>
    <row r="10" spans="1:13" ht="15" customHeight="1" x14ac:dyDescent="0.25">
      <c r="A10" s="115" t="s">
        <v>64</v>
      </c>
      <c r="B10" s="116">
        <v>45082</v>
      </c>
      <c r="C10" s="298" t="s">
        <v>171</v>
      </c>
      <c r="D10" s="298"/>
      <c r="E10" s="298"/>
      <c r="F10" s="298"/>
      <c r="G10" s="298"/>
      <c r="H10" s="298"/>
      <c r="I10" s="298"/>
      <c r="J10" s="117"/>
      <c r="K10" s="118"/>
      <c r="L10" s="118"/>
      <c r="M10" s="118"/>
    </row>
    <row r="11" spans="1:13" x14ac:dyDescent="0.25">
      <c r="A11" s="115" t="s">
        <v>65</v>
      </c>
      <c r="B11" s="116">
        <v>45083</v>
      </c>
      <c r="C11" s="298" t="s">
        <v>171</v>
      </c>
      <c r="D11" s="298"/>
      <c r="E11" s="298"/>
      <c r="F11" s="298"/>
      <c r="G11" s="298"/>
      <c r="H11" s="298"/>
      <c r="I11" s="298"/>
      <c r="J11" s="117"/>
      <c r="K11" s="118"/>
      <c r="L11" s="118"/>
      <c r="M11" s="118"/>
    </row>
    <row r="12" spans="1:13" ht="15" customHeight="1" x14ac:dyDescent="0.25">
      <c r="A12" s="115" t="s">
        <v>96</v>
      </c>
      <c r="B12" s="116">
        <v>45084</v>
      </c>
      <c r="C12" s="298" t="s">
        <v>171</v>
      </c>
      <c r="D12" s="298"/>
      <c r="E12" s="298"/>
      <c r="F12" s="298"/>
      <c r="G12" s="298"/>
      <c r="H12" s="298"/>
      <c r="I12" s="298"/>
      <c r="J12" s="119"/>
      <c r="K12" s="118"/>
      <c r="L12" s="118"/>
      <c r="M12" s="118"/>
    </row>
    <row r="13" spans="1:13" x14ac:dyDescent="0.25">
      <c r="A13" t="s">
        <v>67</v>
      </c>
      <c r="B13" s="95">
        <v>45085</v>
      </c>
      <c r="C13" s="299" t="s">
        <v>500</v>
      </c>
      <c r="D13" s="300"/>
      <c r="E13" s="300"/>
      <c r="F13" s="300"/>
      <c r="G13" s="300"/>
      <c r="H13" s="300"/>
      <c r="I13" s="301"/>
      <c r="J13" s="77"/>
      <c r="K13" s="21">
        <v>65.400000000000006</v>
      </c>
      <c r="L13" s="21">
        <v>96.826388888888886</v>
      </c>
      <c r="M13" s="21">
        <f t="shared" ref="M13" si="1">L13-K13</f>
        <v>31.42638888888888</v>
      </c>
    </row>
    <row r="14" spans="1:13" x14ac:dyDescent="0.25">
      <c r="A14" t="s">
        <v>68</v>
      </c>
      <c r="B14" s="95">
        <v>45086</v>
      </c>
      <c r="C14" s="299" t="s">
        <v>504</v>
      </c>
      <c r="D14" s="300"/>
      <c r="E14" s="300"/>
      <c r="F14" s="300"/>
      <c r="G14" s="300"/>
      <c r="H14" s="300"/>
      <c r="I14" s="301"/>
      <c r="J14" s="77"/>
      <c r="K14" s="294" t="s">
        <v>171</v>
      </c>
      <c r="L14" s="295"/>
      <c r="M14" s="296"/>
    </row>
    <row r="15" spans="1:13" ht="15" customHeight="1" x14ac:dyDescent="0.25">
      <c r="A15" s="61" t="s">
        <v>69</v>
      </c>
      <c r="B15" s="96">
        <v>45087</v>
      </c>
      <c r="C15" s="283" t="s">
        <v>69</v>
      </c>
      <c r="D15" s="283"/>
      <c r="E15" s="283"/>
      <c r="F15" s="283"/>
      <c r="G15" s="283"/>
      <c r="H15" s="283"/>
      <c r="I15" s="283"/>
      <c r="J15" s="78"/>
      <c r="K15" s="41"/>
      <c r="L15" s="41"/>
      <c r="M15" s="41"/>
    </row>
    <row r="16" spans="1:13" x14ac:dyDescent="0.25">
      <c r="A16" s="61" t="s">
        <v>30</v>
      </c>
      <c r="B16" s="96">
        <v>45088</v>
      </c>
      <c r="C16" s="283" t="s">
        <v>30</v>
      </c>
      <c r="D16" s="283"/>
      <c r="E16" s="283"/>
      <c r="F16" s="283"/>
      <c r="G16" s="283"/>
      <c r="H16" s="283"/>
      <c r="I16" s="283"/>
      <c r="J16" s="42"/>
      <c r="K16" s="41"/>
      <c r="L16" s="41"/>
      <c r="M16" s="41"/>
    </row>
    <row r="17" spans="1:13" ht="15" customHeight="1" x14ac:dyDescent="0.25">
      <c r="A17" t="s">
        <v>64</v>
      </c>
      <c r="B17" s="95">
        <v>45089</v>
      </c>
      <c r="C17" s="194" t="s">
        <v>499</v>
      </c>
      <c r="D17" s="194"/>
      <c r="E17" s="194"/>
      <c r="F17" s="194"/>
      <c r="G17" s="194"/>
      <c r="H17" s="194"/>
      <c r="I17" s="194"/>
      <c r="J17" s="18"/>
      <c r="K17" s="21">
        <v>65.402777777777771</v>
      </c>
      <c r="L17" s="21">
        <v>96.8125</v>
      </c>
      <c r="M17" s="21">
        <f t="shared" ref="M17:M21" si="2">L17-K17</f>
        <v>31.409722222222229</v>
      </c>
    </row>
    <row r="18" spans="1:13" ht="15" customHeight="1" x14ac:dyDescent="0.25">
      <c r="A18" t="s">
        <v>65</v>
      </c>
      <c r="B18" s="95">
        <v>45090</v>
      </c>
      <c r="C18" s="259" t="s">
        <v>503</v>
      </c>
      <c r="D18" s="259"/>
      <c r="E18" s="259"/>
      <c r="F18" s="259"/>
      <c r="G18" s="259"/>
      <c r="H18" s="259"/>
      <c r="I18" s="259"/>
      <c r="J18" s="18"/>
      <c r="K18" s="21">
        <v>65.402777777777771</v>
      </c>
      <c r="L18" s="21">
        <v>96.847222222222229</v>
      </c>
      <c r="M18" s="21">
        <f t="shared" si="2"/>
        <v>31.444444444444457</v>
      </c>
    </row>
    <row r="19" spans="1:13" x14ac:dyDescent="0.25">
      <c r="A19" t="s">
        <v>96</v>
      </c>
      <c r="B19" s="95">
        <v>45091</v>
      </c>
      <c r="C19" s="259" t="s">
        <v>498</v>
      </c>
      <c r="D19" s="259"/>
      <c r="E19" s="259"/>
      <c r="F19" s="259"/>
      <c r="G19" s="259"/>
      <c r="H19" s="259"/>
      <c r="I19" s="259"/>
      <c r="J19" s="77"/>
      <c r="K19" s="21">
        <v>65.416666666666671</v>
      </c>
      <c r="L19" s="21">
        <v>96.819444444444443</v>
      </c>
      <c r="M19" s="21">
        <f t="shared" si="2"/>
        <v>31.402777777777771</v>
      </c>
    </row>
    <row r="20" spans="1:13" ht="15" customHeight="1" x14ac:dyDescent="0.25">
      <c r="A20" t="s">
        <v>67</v>
      </c>
      <c r="B20" s="95">
        <v>45092</v>
      </c>
      <c r="C20" s="259" t="s">
        <v>497</v>
      </c>
      <c r="D20" s="259"/>
      <c r="E20" s="259"/>
      <c r="F20" s="259"/>
      <c r="G20" s="259"/>
      <c r="H20" s="259"/>
      <c r="I20" s="259"/>
      <c r="J20" s="77"/>
      <c r="K20" s="21">
        <v>65.409722222222229</v>
      </c>
      <c r="L20" s="21">
        <v>96.797222222222217</v>
      </c>
      <c r="M20" s="21">
        <f t="shared" si="2"/>
        <v>31.387499999999989</v>
      </c>
    </row>
    <row r="21" spans="1:13" ht="15" customHeight="1" x14ac:dyDescent="0.25">
      <c r="A21" t="s">
        <v>68</v>
      </c>
      <c r="B21" s="95">
        <v>45093</v>
      </c>
      <c r="C21" s="259" t="s">
        <v>496</v>
      </c>
      <c r="D21" s="259"/>
      <c r="E21" s="259"/>
      <c r="F21" s="259"/>
      <c r="G21" s="259"/>
      <c r="H21" s="259"/>
      <c r="I21" s="259"/>
      <c r="J21" s="18"/>
      <c r="K21" s="21">
        <v>65.400000000000006</v>
      </c>
      <c r="L21" s="21">
        <v>96.71875</v>
      </c>
      <c r="M21" s="21">
        <f t="shared" si="2"/>
        <v>31.318749999999994</v>
      </c>
    </row>
    <row r="22" spans="1:13" ht="15" customHeight="1" x14ac:dyDescent="0.25">
      <c r="A22" s="61" t="s">
        <v>69</v>
      </c>
      <c r="B22" s="96">
        <v>45094</v>
      </c>
      <c r="C22" s="283" t="s">
        <v>69</v>
      </c>
      <c r="D22" s="283"/>
      <c r="E22" s="283"/>
      <c r="F22" s="283"/>
      <c r="G22" s="283"/>
      <c r="H22" s="283"/>
      <c r="I22" s="283"/>
      <c r="J22" s="42"/>
      <c r="K22" s="41"/>
      <c r="L22" s="41"/>
      <c r="M22" s="41"/>
    </row>
    <row r="23" spans="1:13" x14ac:dyDescent="0.25">
      <c r="A23" s="61" t="s">
        <v>30</v>
      </c>
      <c r="B23" s="96">
        <v>45095</v>
      </c>
      <c r="C23" s="283" t="s">
        <v>30</v>
      </c>
      <c r="D23" s="283"/>
      <c r="E23" s="283"/>
      <c r="F23" s="283"/>
      <c r="G23" s="283"/>
      <c r="H23" s="283"/>
      <c r="I23" s="283"/>
      <c r="J23" s="42"/>
      <c r="K23" s="41"/>
      <c r="L23" s="41"/>
      <c r="M23" s="41"/>
    </row>
    <row r="24" spans="1:13" x14ac:dyDescent="0.25">
      <c r="A24" t="s">
        <v>64</v>
      </c>
      <c r="B24" s="95">
        <v>45096</v>
      </c>
      <c r="C24" s="194" t="s">
        <v>505</v>
      </c>
      <c r="D24" s="194"/>
      <c r="E24" s="194"/>
      <c r="F24" s="194"/>
      <c r="G24" s="194"/>
      <c r="H24" s="194"/>
      <c r="I24" s="194"/>
      <c r="J24" s="18"/>
      <c r="K24" s="21">
        <v>65.402777777777771</v>
      </c>
      <c r="L24" s="21">
        <v>96.833333333333329</v>
      </c>
      <c r="M24" s="21">
        <f t="shared" ref="M24:M28" si="3">L24-K24</f>
        <v>31.430555555555557</v>
      </c>
    </row>
    <row r="25" spans="1:13" x14ac:dyDescent="0.25">
      <c r="A25" t="s">
        <v>65</v>
      </c>
      <c r="B25" s="95">
        <v>45097</v>
      </c>
      <c r="C25" s="305" t="s">
        <v>506</v>
      </c>
      <c r="D25" s="305"/>
      <c r="E25" s="305"/>
      <c r="F25" s="305"/>
      <c r="G25" s="305"/>
      <c r="H25" s="305"/>
      <c r="I25" s="305"/>
      <c r="J25" s="18"/>
      <c r="K25" s="21">
        <v>65.392361111111114</v>
      </c>
      <c r="L25" s="21">
        <v>96.954861111111114</v>
      </c>
      <c r="M25" s="21">
        <f t="shared" si="3"/>
        <v>31.5625</v>
      </c>
    </row>
    <row r="26" spans="1:13" x14ac:dyDescent="0.25">
      <c r="A26" t="s">
        <v>96</v>
      </c>
      <c r="B26" s="95">
        <v>45098</v>
      </c>
      <c r="C26" s="259" t="s">
        <v>509</v>
      </c>
      <c r="D26" s="259"/>
      <c r="E26" s="259"/>
      <c r="F26" s="259"/>
      <c r="G26" s="259"/>
      <c r="H26" s="259"/>
      <c r="I26" s="259"/>
      <c r="J26" s="37"/>
      <c r="K26" s="21">
        <v>65.416666666666671</v>
      </c>
      <c r="L26" s="21">
        <v>96.927083333333329</v>
      </c>
      <c r="M26" s="21">
        <f t="shared" si="3"/>
        <v>31.510416666666657</v>
      </c>
    </row>
    <row r="27" spans="1:13" x14ac:dyDescent="0.25">
      <c r="A27" t="s">
        <v>67</v>
      </c>
      <c r="B27" s="95">
        <v>45099</v>
      </c>
      <c r="C27" s="259" t="s">
        <v>508</v>
      </c>
      <c r="D27" s="259"/>
      <c r="E27" s="259"/>
      <c r="F27" s="259"/>
      <c r="G27" s="259"/>
      <c r="H27" s="259"/>
      <c r="I27" s="259"/>
      <c r="J27" s="37"/>
      <c r="K27" s="21">
        <v>65.392361111111114</v>
      </c>
      <c r="L27" s="21">
        <v>96.923611111111114</v>
      </c>
      <c r="M27" s="21">
        <f t="shared" si="3"/>
        <v>31.53125</v>
      </c>
    </row>
    <row r="28" spans="1:13" x14ac:dyDescent="0.25">
      <c r="A28" t="s">
        <v>68</v>
      </c>
      <c r="B28" s="95">
        <v>45100</v>
      </c>
      <c r="C28" s="194" t="s">
        <v>507</v>
      </c>
      <c r="D28" s="194"/>
      <c r="E28" s="194"/>
      <c r="F28" s="194"/>
      <c r="G28" s="194"/>
      <c r="H28" s="194"/>
      <c r="I28" s="194"/>
      <c r="J28" s="37"/>
      <c r="K28" s="21">
        <v>65.427083333333329</v>
      </c>
      <c r="L28" s="21">
        <v>96.822916666666671</v>
      </c>
      <c r="M28" s="21">
        <f t="shared" si="3"/>
        <v>31.395833333333343</v>
      </c>
    </row>
    <row r="29" spans="1:13" x14ac:dyDescent="0.25">
      <c r="A29" s="61" t="s">
        <v>69</v>
      </c>
      <c r="B29" s="96">
        <v>45101</v>
      </c>
      <c r="C29" s="306" t="s">
        <v>69</v>
      </c>
      <c r="D29" s="307"/>
      <c r="E29" s="307"/>
      <c r="F29" s="307"/>
      <c r="G29" s="307"/>
      <c r="H29" s="307"/>
      <c r="I29" s="308"/>
      <c r="J29" s="44"/>
      <c r="K29" s="112"/>
      <c r="L29" s="113"/>
      <c r="M29" s="114"/>
    </row>
    <row r="30" spans="1:13" ht="15" customHeight="1" x14ac:dyDescent="0.25">
      <c r="A30" s="61" t="s">
        <v>30</v>
      </c>
      <c r="B30" s="96">
        <v>45102</v>
      </c>
      <c r="C30" s="279" t="s">
        <v>30</v>
      </c>
      <c r="D30" s="279"/>
      <c r="E30" s="279"/>
      <c r="F30" s="279"/>
      <c r="G30" s="279"/>
      <c r="H30" s="279"/>
      <c r="I30" s="279"/>
      <c r="J30" s="42"/>
      <c r="K30" s="41"/>
      <c r="L30" s="41"/>
      <c r="M30" s="41"/>
    </row>
    <row r="31" spans="1:13" ht="15" customHeight="1" x14ac:dyDescent="0.25">
      <c r="A31" t="s">
        <v>64</v>
      </c>
      <c r="B31" s="95">
        <v>45103</v>
      </c>
      <c r="C31" s="194" t="s">
        <v>512</v>
      </c>
      <c r="D31" s="194"/>
      <c r="E31" s="194"/>
      <c r="F31" s="194"/>
      <c r="G31" s="194"/>
      <c r="H31" s="194"/>
      <c r="I31" s="194"/>
      <c r="J31" s="18"/>
      <c r="K31" s="21">
        <v>65.392361111111114</v>
      </c>
      <c r="L31" s="21">
        <v>96.795138888888886</v>
      </c>
      <c r="M31" s="21">
        <f t="shared" ref="M31:M35" si="4">L31-K31</f>
        <v>31.402777777777771</v>
      </c>
    </row>
    <row r="32" spans="1:13" ht="15" customHeight="1" x14ac:dyDescent="0.25">
      <c r="A32" t="s">
        <v>65</v>
      </c>
      <c r="B32" s="95">
        <v>45104</v>
      </c>
      <c r="C32" s="194" t="s">
        <v>513</v>
      </c>
      <c r="D32" s="194"/>
      <c r="E32" s="194"/>
      <c r="F32" s="194"/>
      <c r="G32" s="194"/>
      <c r="H32" s="194"/>
      <c r="I32" s="194"/>
      <c r="J32" s="18"/>
      <c r="K32" s="21">
        <v>65.416666666666671</v>
      </c>
      <c r="L32" s="21">
        <v>65.895833333333329</v>
      </c>
      <c r="M32" s="21">
        <f t="shared" si="4"/>
        <v>0.47916666666665719</v>
      </c>
    </row>
    <row r="33" spans="1:13" x14ac:dyDescent="0.25">
      <c r="A33" t="s">
        <v>96</v>
      </c>
      <c r="B33" s="95">
        <v>45105</v>
      </c>
      <c r="C33" s="194" t="s">
        <v>510</v>
      </c>
      <c r="D33" s="194"/>
      <c r="E33" s="194"/>
      <c r="F33" s="194"/>
      <c r="G33" s="194"/>
      <c r="H33" s="194"/>
      <c r="I33" s="194"/>
      <c r="J33" s="18"/>
      <c r="K33" s="21">
        <v>65.402777777777771</v>
      </c>
      <c r="L33" s="21">
        <v>96.822916666666671</v>
      </c>
      <c r="M33" s="21">
        <f t="shared" si="4"/>
        <v>31.4201388888889</v>
      </c>
    </row>
    <row r="34" spans="1:13" x14ac:dyDescent="0.25">
      <c r="A34" t="s">
        <v>67</v>
      </c>
      <c r="B34" s="95">
        <v>45106</v>
      </c>
      <c r="C34" s="194" t="s">
        <v>511</v>
      </c>
      <c r="D34" s="194"/>
      <c r="E34" s="194"/>
      <c r="F34" s="194"/>
      <c r="G34" s="194"/>
      <c r="H34" s="194"/>
      <c r="I34" s="194"/>
      <c r="J34" s="18"/>
      <c r="K34" s="21">
        <v>65.409722222222229</v>
      </c>
      <c r="L34" s="21">
        <v>96.822916666666671</v>
      </c>
      <c r="M34" s="21">
        <f t="shared" si="4"/>
        <v>31.413194444444443</v>
      </c>
    </row>
    <row r="35" spans="1:13" x14ac:dyDescent="0.25">
      <c r="A35" t="s">
        <v>68</v>
      </c>
      <c r="B35" s="95">
        <v>45107</v>
      </c>
      <c r="C35" s="194" t="s">
        <v>514</v>
      </c>
      <c r="D35" s="194"/>
      <c r="E35" s="194"/>
      <c r="F35" s="194"/>
      <c r="G35" s="194"/>
      <c r="H35" s="194"/>
      <c r="I35" s="194"/>
      <c r="J35" s="18"/>
      <c r="K35" s="21">
        <v>65.416666666666671</v>
      </c>
      <c r="L35" s="21">
        <v>96.8125</v>
      </c>
      <c r="M35" s="21">
        <f t="shared" si="4"/>
        <v>31.395833333333329</v>
      </c>
    </row>
    <row r="36" spans="1:13" x14ac:dyDescent="0.25">
      <c r="B36" s="95"/>
      <c r="C36" s="194"/>
      <c r="D36" s="270"/>
      <c r="E36" s="270"/>
      <c r="F36" s="270"/>
      <c r="G36" s="270"/>
      <c r="H36" s="270"/>
      <c r="I36" s="270"/>
      <c r="J36" s="18"/>
      <c r="K36" s="21"/>
      <c r="L36" s="21"/>
      <c r="M36" s="21"/>
    </row>
    <row r="1048576" spans="11:12" x14ac:dyDescent="0.25">
      <c r="K1048576" s="21">
        <v>0.41666666666666669</v>
      </c>
      <c r="L1048576" s="21">
        <v>0.75</v>
      </c>
    </row>
  </sheetData>
  <mergeCells count="38">
    <mergeCell ref="C29:I29"/>
    <mergeCell ref="C35:I35"/>
    <mergeCell ref="C36:I36"/>
    <mergeCell ref="C30:I30"/>
    <mergeCell ref="C31:I31"/>
    <mergeCell ref="C32:I32"/>
    <mergeCell ref="C33:I33"/>
    <mergeCell ref="C34:I34"/>
    <mergeCell ref="C24:I24"/>
    <mergeCell ref="C25:I25"/>
    <mergeCell ref="C26:I26"/>
    <mergeCell ref="C27:I27"/>
    <mergeCell ref="C28:I28"/>
    <mergeCell ref="C23:I23"/>
    <mergeCell ref="C12:I12"/>
    <mergeCell ref="C13:I13"/>
    <mergeCell ref="C14:I14"/>
    <mergeCell ref="C15:I15"/>
    <mergeCell ref="C16:I16"/>
    <mergeCell ref="C17:I17"/>
    <mergeCell ref="C18:I18"/>
    <mergeCell ref="C19:I19"/>
    <mergeCell ref="C20:I20"/>
    <mergeCell ref="C21:I21"/>
    <mergeCell ref="C22:I22"/>
    <mergeCell ref="K14:M14"/>
    <mergeCell ref="C11:I11"/>
    <mergeCell ref="B1:M1"/>
    <mergeCell ref="C2:E2"/>
    <mergeCell ref="G2:M2"/>
    <mergeCell ref="C3:E3"/>
    <mergeCell ref="G3:M3"/>
    <mergeCell ref="C5:J5"/>
    <mergeCell ref="C6:I6"/>
    <mergeCell ref="C7:I7"/>
    <mergeCell ref="C8:I8"/>
    <mergeCell ref="C9:I9"/>
    <mergeCell ref="C10:I10"/>
  </mergeCells>
  <phoneticPr fontId="6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901F9-42A3-44F1-ABAA-4986D4F011A5}">
  <dimension ref="A1:M1048576"/>
  <sheetViews>
    <sheetView zoomScaleNormal="100" workbookViewId="0">
      <selection activeCell="C36" sqref="C36:I36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5" max="5" width="23.85546875" customWidth="1"/>
    <col min="6" max="6" width="54.140625" customWidth="1"/>
    <col min="9" max="9" width="36.140625" customWidth="1"/>
    <col min="11" max="11" width="11.5703125" style="102" bestFit="1" customWidth="1"/>
    <col min="12" max="12" width="9.140625" style="23"/>
    <col min="13" max="13" width="10.28515625" bestFit="1" customWidth="1"/>
  </cols>
  <sheetData>
    <row r="1" spans="1:13" ht="18.75" x14ac:dyDescent="0.3">
      <c r="A1" s="18"/>
      <c r="B1" s="285" t="s">
        <v>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x14ac:dyDescent="0.25">
      <c r="A2" s="18"/>
      <c r="B2" s="79" t="s">
        <v>1</v>
      </c>
      <c r="C2" s="286" t="s">
        <v>34</v>
      </c>
      <c r="D2" s="286"/>
      <c r="E2" s="286"/>
      <c r="F2" s="79" t="s">
        <v>8</v>
      </c>
      <c r="G2" s="286" t="s">
        <v>35</v>
      </c>
      <c r="H2" s="286"/>
      <c r="I2" s="286"/>
      <c r="J2" s="286"/>
      <c r="K2" s="286"/>
      <c r="L2" s="286"/>
      <c r="M2" s="286"/>
    </row>
    <row r="3" spans="1:13" x14ac:dyDescent="0.25">
      <c r="A3" s="18"/>
      <c r="B3" s="79" t="s">
        <v>2</v>
      </c>
      <c r="C3" s="286" t="s">
        <v>36</v>
      </c>
      <c r="D3" s="286"/>
      <c r="E3" s="286"/>
      <c r="F3" s="79" t="s">
        <v>3</v>
      </c>
      <c r="G3" s="286" t="s">
        <v>13</v>
      </c>
      <c r="H3" s="286"/>
      <c r="I3" s="286"/>
      <c r="J3" s="286"/>
      <c r="K3" s="286"/>
      <c r="L3" s="286"/>
      <c r="M3" s="286"/>
    </row>
    <row r="4" spans="1:13" x14ac:dyDescent="0.25">
      <c r="A4" s="18"/>
      <c r="B4" s="80"/>
      <c r="C4" s="80"/>
      <c r="D4" s="80"/>
      <c r="E4" s="80"/>
      <c r="F4" s="80"/>
      <c r="G4" s="80"/>
      <c r="H4" s="80"/>
      <c r="I4" s="80"/>
      <c r="J4" s="80"/>
      <c r="K4" s="98"/>
      <c r="L4" s="82"/>
      <c r="M4" s="82"/>
    </row>
    <row r="5" spans="1:13" x14ac:dyDescent="0.25">
      <c r="A5" s="18"/>
      <c r="B5" s="83" t="s">
        <v>7</v>
      </c>
      <c r="C5" s="287" t="s">
        <v>4</v>
      </c>
      <c r="D5" s="287"/>
      <c r="E5" s="287"/>
      <c r="F5" s="287"/>
      <c r="G5" s="287"/>
      <c r="H5" s="287"/>
      <c r="I5" s="287"/>
      <c r="J5" s="287"/>
      <c r="K5" s="99" t="s">
        <v>5</v>
      </c>
      <c r="L5" s="85" t="s">
        <v>6</v>
      </c>
      <c r="M5" s="83" t="s">
        <v>491</v>
      </c>
    </row>
    <row r="6" spans="1:13" x14ac:dyDescent="0.25">
      <c r="A6" s="61" t="s">
        <v>64</v>
      </c>
      <c r="B6" s="96">
        <v>45047</v>
      </c>
      <c r="C6" s="309" t="s">
        <v>472</v>
      </c>
      <c r="D6" s="310"/>
      <c r="E6" s="310"/>
      <c r="F6" s="310"/>
      <c r="G6" s="310"/>
      <c r="H6" s="310"/>
      <c r="I6" s="311"/>
      <c r="J6" s="38"/>
      <c r="K6" s="41">
        <v>1.7291666666666665</v>
      </c>
      <c r="L6" s="41">
        <v>1.8333333333333335</v>
      </c>
      <c r="M6" s="41">
        <f t="shared" ref="M6:M10" si="0">L6-K6</f>
        <v>0.10416666666666696</v>
      </c>
    </row>
    <row r="7" spans="1:13" x14ac:dyDescent="0.25">
      <c r="A7" t="s">
        <v>65</v>
      </c>
      <c r="B7" s="95">
        <v>45048</v>
      </c>
      <c r="C7" s="302" t="s">
        <v>470</v>
      </c>
      <c r="D7" s="303"/>
      <c r="E7" s="303"/>
      <c r="F7" s="303"/>
      <c r="G7" s="303"/>
      <c r="H7" s="303"/>
      <c r="I7" s="304"/>
      <c r="J7" s="11"/>
      <c r="K7" s="21">
        <v>1.40625</v>
      </c>
      <c r="L7" s="21">
        <v>96.854166666666671</v>
      </c>
      <c r="M7" s="21">
        <f t="shared" si="0"/>
        <v>95.447916666666671</v>
      </c>
    </row>
    <row r="8" spans="1:13" ht="15" customHeight="1" x14ac:dyDescent="0.25">
      <c r="A8" t="s">
        <v>96</v>
      </c>
      <c r="B8" s="95">
        <v>45049</v>
      </c>
      <c r="C8" s="282" t="s">
        <v>476</v>
      </c>
      <c r="D8" s="282"/>
      <c r="E8" s="282"/>
      <c r="F8" s="282"/>
      <c r="G8" s="282"/>
      <c r="H8" s="282"/>
      <c r="I8" s="282"/>
      <c r="J8" s="11"/>
      <c r="K8" s="21">
        <v>65.4375</v>
      </c>
      <c r="L8" s="21">
        <v>96.854166666666671</v>
      </c>
      <c r="M8" s="21">
        <f t="shared" si="0"/>
        <v>31.416666666666671</v>
      </c>
    </row>
    <row r="9" spans="1:13" ht="15" customHeight="1" x14ac:dyDescent="0.25">
      <c r="A9" t="s">
        <v>67</v>
      </c>
      <c r="B9" s="95">
        <v>45050</v>
      </c>
      <c r="C9" s="194" t="s">
        <v>471</v>
      </c>
      <c r="D9" s="194"/>
      <c r="E9" s="194"/>
      <c r="F9" s="194"/>
      <c r="G9" s="194"/>
      <c r="H9" s="194"/>
      <c r="I9" s="194"/>
      <c r="J9" s="18"/>
      <c r="K9" s="21">
        <v>1.4305555555555556</v>
      </c>
      <c r="L9" s="21">
        <v>96.840277777777771</v>
      </c>
      <c r="M9" s="21">
        <f t="shared" si="0"/>
        <v>95.409722222222214</v>
      </c>
    </row>
    <row r="10" spans="1:13" ht="15" customHeight="1" x14ac:dyDescent="0.25">
      <c r="A10" t="s">
        <v>68</v>
      </c>
      <c r="B10" s="95">
        <v>45051</v>
      </c>
      <c r="C10" s="194" t="s">
        <v>475</v>
      </c>
      <c r="D10" s="194"/>
      <c r="E10" s="194"/>
      <c r="F10" s="194"/>
      <c r="G10" s="194"/>
      <c r="H10" s="194"/>
      <c r="I10" s="194"/>
      <c r="J10" s="18"/>
      <c r="K10" s="21">
        <v>1.4270833333333333</v>
      </c>
      <c r="L10" s="21">
        <v>96.854166666666671</v>
      </c>
      <c r="M10" s="21">
        <f t="shared" si="0"/>
        <v>95.427083333333343</v>
      </c>
    </row>
    <row r="11" spans="1:13" x14ac:dyDescent="0.25">
      <c r="A11" s="61" t="s">
        <v>69</v>
      </c>
      <c r="B11" s="96">
        <v>45052</v>
      </c>
      <c r="C11" s="309" t="s">
        <v>480</v>
      </c>
      <c r="D11" s="310"/>
      <c r="E11" s="310"/>
      <c r="F11" s="310"/>
      <c r="G11" s="310"/>
      <c r="H11" s="310"/>
      <c r="I11" s="311"/>
      <c r="J11" s="42"/>
      <c r="K11" s="41">
        <v>1.5347222222222223</v>
      </c>
      <c r="L11" s="41">
        <v>96.666666666666671</v>
      </c>
      <c r="M11" s="41">
        <f>L11-K11</f>
        <v>95.131944444444443</v>
      </c>
    </row>
    <row r="12" spans="1:13" ht="15" customHeight="1" x14ac:dyDescent="0.25">
      <c r="A12" s="61" t="s">
        <v>30</v>
      </c>
      <c r="B12" s="96">
        <v>45053</v>
      </c>
      <c r="C12" s="309"/>
      <c r="D12" s="310"/>
      <c r="E12" s="310"/>
      <c r="F12" s="310"/>
      <c r="G12" s="310"/>
      <c r="H12" s="310"/>
      <c r="I12" s="311"/>
      <c r="J12" s="78"/>
      <c r="K12" s="41"/>
      <c r="L12" s="41"/>
      <c r="M12" s="41"/>
    </row>
    <row r="13" spans="1:13" x14ac:dyDescent="0.25">
      <c r="A13" t="s">
        <v>64</v>
      </c>
      <c r="B13" s="95">
        <v>45054</v>
      </c>
      <c r="C13" s="299" t="s">
        <v>474</v>
      </c>
      <c r="D13" s="300"/>
      <c r="E13" s="300"/>
      <c r="F13" s="300"/>
      <c r="G13" s="300"/>
      <c r="H13" s="300"/>
      <c r="I13" s="301"/>
      <c r="J13" s="77"/>
      <c r="K13" s="21">
        <v>1.3923611111111112</v>
      </c>
      <c r="L13" s="21">
        <v>96.833333333333329</v>
      </c>
      <c r="M13" s="21">
        <f t="shared" ref="M13:M14" si="1">L13-K13</f>
        <v>95.440972222222214</v>
      </c>
    </row>
    <row r="14" spans="1:13" x14ac:dyDescent="0.25">
      <c r="A14" t="s">
        <v>65</v>
      </c>
      <c r="B14" s="95">
        <v>45055</v>
      </c>
      <c r="C14" s="299" t="s">
        <v>473</v>
      </c>
      <c r="D14" s="300"/>
      <c r="E14" s="300"/>
      <c r="F14" s="300"/>
      <c r="G14" s="300"/>
      <c r="H14" s="300"/>
      <c r="I14" s="301"/>
      <c r="J14" s="77"/>
      <c r="K14" s="21">
        <v>1.3854166666666667</v>
      </c>
      <c r="L14" s="21">
        <v>96.915972222222223</v>
      </c>
      <c r="M14" s="21">
        <f t="shared" si="1"/>
        <v>95.530555555555551</v>
      </c>
    </row>
    <row r="15" spans="1:13" ht="15" customHeight="1" x14ac:dyDescent="0.25">
      <c r="A15" t="s">
        <v>96</v>
      </c>
      <c r="B15" s="95">
        <v>45056</v>
      </c>
      <c r="C15" s="299" t="s">
        <v>478</v>
      </c>
      <c r="D15" s="300"/>
      <c r="E15" s="300"/>
      <c r="F15" s="300"/>
      <c r="G15" s="300"/>
      <c r="H15" s="300"/>
      <c r="I15" s="301"/>
      <c r="J15" s="77"/>
      <c r="K15" s="21">
        <v>1.3958333333333333</v>
      </c>
      <c r="L15" s="21">
        <v>96.916666666666671</v>
      </c>
      <c r="M15" s="21">
        <f t="shared" ref="M15:M36" si="2">L15-K15</f>
        <v>95.520833333333343</v>
      </c>
    </row>
    <row r="16" spans="1:13" x14ac:dyDescent="0.25">
      <c r="A16" t="s">
        <v>67</v>
      </c>
      <c r="B16" s="95">
        <v>45057</v>
      </c>
      <c r="C16" s="194" t="s">
        <v>477</v>
      </c>
      <c r="D16" s="194"/>
      <c r="E16" s="194"/>
      <c r="F16" s="194"/>
      <c r="G16" s="194"/>
      <c r="H16" s="194"/>
      <c r="I16" s="194"/>
      <c r="J16" s="18"/>
      <c r="K16" s="21">
        <v>1.4097222222222223</v>
      </c>
      <c r="L16" s="21">
        <v>96.9375</v>
      </c>
      <c r="M16" s="21">
        <f t="shared" si="2"/>
        <v>95.527777777777771</v>
      </c>
    </row>
    <row r="17" spans="1:13" ht="15" customHeight="1" x14ac:dyDescent="0.25">
      <c r="A17" t="s">
        <v>68</v>
      </c>
      <c r="B17" s="95">
        <v>45058</v>
      </c>
      <c r="C17" s="194" t="s">
        <v>479</v>
      </c>
      <c r="D17" s="194"/>
      <c r="E17" s="194"/>
      <c r="F17" s="194"/>
      <c r="G17" s="194"/>
      <c r="H17" s="194"/>
      <c r="I17" s="194"/>
      <c r="J17" s="18"/>
      <c r="K17" s="21">
        <v>1.4097222222222223</v>
      </c>
      <c r="L17" s="21">
        <v>1.8333333333333335</v>
      </c>
      <c r="M17" s="21">
        <f t="shared" si="2"/>
        <v>0.42361111111111116</v>
      </c>
    </row>
    <row r="18" spans="1:13" ht="15" customHeight="1" x14ac:dyDescent="0.25">
      <c r="A18" s="61" t="s">
        <v>69</v>
      </c>
      <c r="B18" s="96">
        <v>45059</v>
      </c>
      <c r="C18" s="284"/>
      <c r="D18" s="284"/>
      <c r="E18" s="284"/>
      <c r="F18" s="284"/>
      <c r="G18" s="284"/>
      <c r="H18" s="284"/>
      <c r="I18" s="284"/>
      <c r="J18" s="42"/>
      <c r="K18" s="41"/>
      <c r="L18" s="41"/>
      <c r="M18" s="41"/>
    </row>
    <row r="19" spans="1:13" x14ac:dyDescent="0.25">
      <c r="A19" s="61" t="s">
        <v>30</v>
      </c>
      <c r="B19" s="96">
        <v>45060</v>
      </c>
      <c r="C19" s="284"/>
      <c r="D19" s="284"/>
      <c r="E19" s="284"/>
      <c r="F19" s="284"/>
      <c r="G19" s="284"/>
      <c r="H19" s="284"/>
      <c r="I19" s="284"/>
      <c r="J19" s="78"/>
      <c r="K19" s="41"/>
      <c r="L19" s="41"/>
      <c r="M19" s="41"/>
    </row>
    <row r="20" spans="1:13" ht="15" customHeight="1" x14ac:dyDescent="0.25">
      <c r="A20" t="s">
        <v>64</v>
      </c>
      <c r="B20" s="95">
        <v>45061</v>
      </c>
      <c r="C20" s="259" t="s">
        <v>481</v>
      </c>
      <c r="D20" s="259"/>
      <c r="E20" s="259"/>
      <c r="F20" s="259"/>
      <c r="G20" s="259"/>
      <c r="H20" s="259"/>
      <c r="I20" s="259"/>
      <c r="J20" s="77"/>
      <c r="K20" s="21">
        <v>1.4097222222222223</v>
      </c>
      <c r="L20" s="21">
        <v>1.8333333333333335</v>
      </c>
      <c r="M20" s="21">
        <f t="shared" si="2"/>
        <v>0.42361111111111116</v>
      </c>
    </row>
    <row r="21" spans="1:13" ht="15" customHeight="1" x14ac:dyDescent="0.25">
      <c r="A21" t="s">
        <v>65</v>
      </c>
      <c r="B21" s="95">
        <v>45062</v>
      </c>
      <c r="C21" s="259" t="s">
        <v>483</v>
      </c>
      <c r="D21" s="259"/>
      <c r="E21" s="259"/>
      <c r="F21" s="259"/>
      <c r="G21" s="259"/>
      <c r="H21" s="259"/>
      <c r="I21" s="259"/>
      <c r="J21" s="18"/>
      <c r="K21" s="21">
        <v>1.3958333333333333</v>
      </c>
      <c r="L21" s="21">
        <v>1.8958333333333335</v>
      </c>
      <c r="M21" s="21">
        <f t="shared" si="2"/>
        <v>0.50000000000000022</v>
      </c>
    </row>
    <row r="22" spans="1:13" x14ac:dyDescent="0.25">
      <c r="A22" t="s">
        <v>96</v>
      </c>
      <c r="B22" s="95">
        <v>45063</v>
      </c>
      <c r="C22" s="312" t="s">
        <v>482</v>
      </c>
      <c r="D22" s="313"/>
      <c r="E22" s="313"/>
      <c r="F22" s="313"/>
      <c r="G22" s="313"/>
      <c r="H22" s="313"/>
      <c r="I22" s="314"/>
      <c r="J22" s="18"/>
      <c r="K22" s="21">
        <v>1.4097222222222223</v>
      </c>
      <c r="L22" s="21">
        <v>1.8333333333333335</v>
      </c>
      <c r="M22" s="21">
        <f t="shared" si="2"/>
        <v>0.42361111111111116</v>
      </c>
    </row>
    <row r="23" spans="1:13" x14ac:dyDescent="0.25">
      <c r="A23" t="s">
        <v>67</v>
      </c>
      <c r="B23" s="95">
        <v>45064</v>
      </c>
      <c r="C23" s="194" t="s">
        <v>484</v>
      </c>
      <c r="D23" s="194"/>
      <c r="E23" s="194"/>
      <c r="F23" s="194"/>
      <c r="G23" s="194"/>
      <c r="H23" s="194"/>
      <c r="I23" s="194"/>
      <c r="J23" s="18"/>
      <c r="K23" s="21">
        <v>1.125</v>
      </c>
      <c r="L23" s="21">
        <v>1.3333333333333333</v>
      </c>
      <c r="M23" s="21">
        <f t="shared" si="2"/>
        <v>0.20833333333333326</v>
      </c>
    </row>
    <row r="24" spans="1:13" x14ac:dyDescent="0.25">
      <c r="A24" t="s">
        <v>68</v>
      </c>
      <c r="B24" s="95">
        <v>45065</v>
      </c>
      <c r="C24" s="194" t="s">
        <v>485</v>
      </c>
      <c r="D24" s="194"/>
      <c r="E24" s="194"/>
      <c r="F24" s="194"/>
      <c r="G24" s="194"/>
      <c r="H24" s="194"/>
      <c r="I24" s="194"/>
      <c r="J24" s="18"/>
      <c r="K24" s="21">
        <v>1.4097222222222223</v>
      </c>
      <c r="L24" s="21">
        <v>1.8333333333333335</v>
      </c>
      <c r="M24" s="21">
        <f t="shared" si="2"/>
        <v>0.42361111111111116</v>
      </c>
    </row>
    <row r="25" spans="1:13" x14ac:dyDescent="0.25">
      <c r="A25" s="61" t="s">
        <v>69</v>
      </c>
      <c r="B25" s="96">
        <v>45066</v>
      </c>
      <c r="C25" s="315"/>
      <c r="D25" s="315"/>
      <c r="E25" s="315"/>
      <c r="F25" s="315"/>
      <c r="G25" s="315"/>
      <c r="H25" s="315"/>
      <c r="I25" s="315"/>
      <c r="J25" s="42"/>
      <c r="K25" s="41"/>
      <c r="L25" s="41"/>
      <c r="M25" s="41"/>
    </row>
    <row r="26" spans="1:13" x14ac:dyDescent="0.25">
      <c r="A26" s="61" t="s">
        <v>30</v>
      </c>
      <c r="B26" s="96">
        <v>45067</v>
      </c>
      <c r="C26" s="284"/>
      <c r="D26" s="284"/>
      <c r="E26" s="284"/>
      <c r="F26" s="284"/>
      <c r="G26" s="284"/>
      <c r="H26" s="284"/>
      <c r="I26" s="284"/>
      <c r="J26" s="44"/>
      <c r="K26" s="41"/>
      <c r="L26" s="41"/>
      <c r="M26" s="41"/>
    </row>
    <row r="27" spans="1:13" x14ac:dyDescent="0.25">
      <c r="A27" t="s">
        <v>64</v>
      </c>
      <c r="B27" s="95">
        <v>45068</v>
      </c>
      <c r="C27" s="259" t="s">
        <v>486</v>
      </c>
      <c r="D27" s="259"/>
      <c r="E27" s="259"/>
      <c r="F27" s="259"/>
      <c r="G27" s="259"/>
      <c r="H27" s="259"/>
      <c r="I27" s="259"/>
      <c r="J27" s="37"/>
      <c r="K27" s="21">
        <v>1.4097222222222223</v>
      </c>
      <c r="L27" s="21">
        <v>1.8333333333333335</v>
      </c>
      <c r="M27" s="21">
        <f t="shared" si="2"/>
        <v>0.42361111111111116</v>
      </c>
    </row>
    <row r="28" spans="1:13" x14ac:dyDescent="0.25">
      <c r="A28" t="s">
        <v>65</v>
      </c>
      <c r="B28" s="95">
        <v>45069</v>
      </c>
      <c r="C28" s="194" t="s">
        <v>489</v>
      </c>
      <c r="D28" s="194"/>
      <c r="E28" s="194"/>
      <c r="F28" s="194"/>
      <c r="G28" s="194"/>
      <c r="H28" s="194"/>
      <c r="I28" s="194"/>
      <c r="J28" s="37"/>
      <c r="K28" s="21">
        <v>1.4097222222222223</v>
      </c>
      <c r="L28" s="21">
        <v>1.8333333333333335</v>
      </c>
      <c r="M28" s="21">
        <f t="shared" si="2"/>
        <v>0.42361111111111116</v>
      </c>
    </row>
    <row r="29" spans="1:13" x14ac:dyDescent="0.25">
      <c r="A29" t="s">
        <v>96</v>
      </c>
      <c r="B29" s="95">
        <v>45070</v>
      </c>
      <c r="C29" s="312" t="s">
        <v>488</v>
      </c>
      <c r="D29" s="313"/>
      <c r="E29" s="313"/>
      <c r="F29" s="313"/>
      <c r="G29" s="313"/>
      <c r="H29" s="313"/>
      <c r="I29" s="314"/>
      <c r="J29" s="37"/>
      <c r="K29" s="294" t="s">
        <v>171</v>
      </c>
      <c r="L29" s="295"/>
      <c r="M29" s="296"/>
    </row>
    <row r="30" spans="1:13" ht="15" customHeight="1" x14ac:dyDescent="0.25">
      <c r="A30" t="s">
        <v>67</v>
      </c>
      <c r="B30" s="95">
        <v>45071</v>
      </c>
      <c r="C30" s="194" t="s">
        <v>487</v>
      </c>
      <c r="D30" s="194"/>
      <c r="E30" s="194"/>
      <c r="F30" s="194"/>
      <c r="G30" s="194"/>
      <c r="H30" s="194"/>
      <c r="I30" s="194"/>
      <c r="J30" s="18"/>
      <c r="K30" s="21">
        <v>1.4097222222222223</v>
      </c>
      <c r="L30" s="21">
        <v>1.8333333333333335</v>
      </c>
      <c r="M30" s="21">
        <f t="shared" ref="M30" si="3">L30-K30</f>
        <v>0.42361111111111116</v>
      </c>
    </row>
    <row r="31" spans="1:13" ht="15" customHeight="1" x14ac:dyDescent="0.25">
      <c r="A31" t="s">
        <v>68</v>
      </c>
      <c r="B31" s="95">
        <v>45072</v>
      </c>
      <c r="C31" s="194" t="s">
        <v>490</v>
      </c>
      <c r="D31" s="194"/>
      <c r="E31" s="194"/>
      <c r="F31" s="194"/>
      <c r="G31" s="194"/>
      <c r="H31" s="194"/>
      <c r="I31" s="194"/>
      <c r="J31" s="18"/>
      <c r="K31" s="21">
        <v>1.4097222222222223</v>
      </c>
      <c r="L31" s="21">
        <v>1.9583333333333335</v>
      </c>
      <c r="M31" s="21">
        <f t="shared" si="2"/>
        <v>0.54861111111111116</v>
      </c>
    </row>
    <row r="32" spans="1:13" ht="15" customHeight="1" x14ac:dyDescent="0.25">
      <c r="A32" s="61" t="s">
        <v>69</v>
      </c>
      <c r="B32" s="96">
        <v>45073</v>
      </c>
      <c r="C32" s="279"/>
      <c r="D32" s="279"/>
      <c r="E32" s="279"/>
      <c r="F32" s="279"/>
      <c r="G32" s="279"/>
      <c r="H32" s="279"/>
      <c r="I32" s="279"/>
      <c r="J32" s="42"/>
      <c r="K32" s="41"/>
      <c r="L32" s="41"/>
      <c r="M32" s="41"/>
    </row>
    <row r="33" spans="1:13" x14ac:dyDescent="0.25">
      <c r="A33" s="61" t="s">
        <v>30</v>
      </c>
      <c r="B33" s="96">
        <v>45074</v>
      </c>
      <c r="C33" s="279" t="s">
        <v>492</v>
      </c>
      <c r="D33" s="279"/>
      <c r="E33" s="279"/>
      <c r="F33" s="279"/>
      <c r="G33" s="279"/>
      <c r="H33" s="279"/>
      <c r="I33" s="279"/>
      <c r="J33" s="42"/>
      <c r="K33" s="41">
        <v>1.875</v>
      </c>
      <c r="L33" s="41">
        <v>1.9166666666666665</v>
      </c>
      <c r="M33" s="41">
        <f t="shared" ref="M33" si="4">L33-K33</f>
        <v>4.1666666666666519E-2</v>
      </c>
    </row>
    <row r="34" spans="1:13" x14ac:dyDescent="0.25">
      <c r="A34" t="s">
        <v>64</v>
      </c>
      <c r="B34" s="95">
        <v>45075</v>
      </c>
      <c r="C34" s="194" t="s">
        <v>493</v>
      </c>
      <c r="D34" s="194"/>
      <c r="E34" s="194"/>
      <c r="F34" s="194"/>
      <c r="G34" s="194"/>
      <c r="H34" s="194"/>
      <c r="I34" s="194"/>
      <c r="J34" s="18"/>
      <c r="K34" s="21">
        <v>1.4097222222222223</v>
      </c>
      <c r="L34" s="21">
        <v>1.8333333333333335</v>
      </c>
      <c r="M34" s="21">
        <f t="shared" si="2"/>
        <v>0.42361111111111116</v>
      </c>
    </row>
    <row r="35" spans="1:13" x14ac:dyDescent="0.25">
      <c r="A35" t="s">
        <v>65</v>
      </c>
      <c r="B35" s="95">
        <v>45076</v>
      </c>
      <c r="C35" s="194" t="s">
        <v>494</v>
      </c>
      <c r="D35" s="194"/>
      <c r="E35" s="194"/>
      <c r="F35" s="194"/>
      <c r="G35" s="194"/>
      <c r="H35" s="194"/>
      <c r="I35" s="194"/>
      <c r="J35" s="18"/>
      <c r="K35" s="21">
        <v>1.4097222222222223</v>
      </c>
      <c r="L35" s="21">
        <v>1.875</v>
      </c>
      <c r="M35" s="21">
        <f t="shared" si="2"/>
        <v>0.46527777777777768</v>
      </c>
    </row>
    <row r="36" spans="1:13" x14ac:dyDescent="0.25">
      <c r="A36" t="s">
        <v>96</v>
      </c>
      <c r="B36" s="95">
        <v>45077</v>
      </c>
      <c r="C36" s="194" t="s">
        <v>495</v>
      </c>
      <c r="D36" s="270"/>
      <c r="E36" s="270"/>
      <c r="F36" s="270"/>
      <c r="G36" s="270"/>
      <c r="H36" s="270"/>
      <c r="I36" s="270"/>
      <c r="J36" s="18"/>
      <c r="K36" s="21">
        <v>1.4097222222222223</v>
      </c>
      <c r="L36" s="21">
        <v>1.8333333333333335</v>
      </c>
      <c r="M36" s="21">
        <f t="shared" si="2"/>
        <v>0.42361111111111116</v>
      </c>
    </row>
    <row r="1048576" spans="11:12" x14ac:dyDescent="0.25">
      <c r="K1048576" s="21">
        <v>0.41666666666666669</v>
      </c>
      <c r="L1048576" s="21">
        <v>0.75</v>
      </c>
    </row>
  </sheetData>
  <mergeCells count="38">
    <mergeCell ref="K29:M29"/>
    <mergeCell ref="C32:I32"/>
    <mergeCell ref="C33:I33"/>
    <mergeCell ref="C34:I34"/>
    <mergeCell ref="C35:I35"/>
    <mergeCell ref="C36:I36"/>
    <mergeCell ref="C31:I31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29:I29"/>
    <mergeCell ref="C30:I30"/>
    <mergeCell ref="C19:I19"/>
    <mergeCell ref="C6:I6"/>
    <mergeCell ref="C7:I7"/>
    <mergeCell ref="C8:I8"/>
    <mergeCell ref="C9:I9"/>
    <mergeCell ref="C10:I10"/>
    <mergeCell ref="C11:I11"/>
    <mergeCell ref="C12:I12"/>
    <mergeCell ref="C15:I15"/>
    <mergeCell ref="C16:I16"/>
    <mergeCell ref="C17:I17"/>
    <mergeCell ref="C18:I18"/>
    <mergeCell ref="C5:J5"/>
    <mergeCell ref="C13:I13"/>
    <mergeCell ref="C14:I14"/>
    <mergeCell ref="B1:M1"/>
    <mergeCell ref="C2:E2"/>
    <mergeCell ref="G2:M2"/>
    <mergeCell ref="C3:E3"/>
    <mergeCell ref="G3:M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F6C1-8C2C-4EAB-9025-3824CE3663CC}">
  <dimension ref="A1:M1048576"/>
  <sheetViews>
    <sheetView topLeftCell="A4" zoomScaleNormal="100" workbookViewId="0">
      <selection activeCell="C36" sqref="C36:I36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5" max="5" width="23.85546875" customWidth="1"/>
    <col min="6" max="6" width="54.140625" customWidth="1"/>
    <col min="9" max="9" width="36.140625" customWidth="1"/>
    <col min="11" max="11" width="11.5703125" style="102" bestFit="1" customWidth="1"/>
    <col min="12" max="12" width="9.140625" style="23"/>
    <col min="13" max="13" width="6.28515625" bestFit="1" customWidth="1"/>
  </cols>
  <sheetData>
    <row r="1" spans="1:13" ht="18.75" x14ac:dyDescent="0.3">
      <c r="A1" s="18"/>
      <c r="B1" s="285" t="s">
        <v>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x14ac:dyDescent="0.25">
      <c r="A2" s="18"/>
      <c r="B2" s="79" t="s">
        <v>1</v>
      </c>
      <c r="C2" s="286" t="s">
        <v>34</v>
      </c>
      <c r="D2" s="286"/>
      <c r="E2" s="286"/>
      <c r="F2" s="79" t="s">
        <v>8</v>
      </c>
      <c r="G2" s="286" t="s">
        <v>35</v>
      </c>
      <c r="H2" s="286"/>
      <c r="I2" s="286"/>
      <c r="J2" s="286"/>
      <c r="K2" s="286"/>
      <c r="L2" s="286"/>
      <c r="M2" s="286"/>
    </row>
    <row r="3" spans="1:13" x14ac:dyDescent="0.25">
      <c r="A3" s="18"/>
      <c r="B3" s="79" t="s">
        <v>2</v>
      </c>
      <c r="C3" s="286" t="s">
        <v>36</v>
      </c>
      <c r="D3" s="286"/>
      <c r="E3" s="286"/>
      <c r="F3" s="79" t="s">
        <v>3</v>
      </c>
      <c r="G3" s="286" t="s">
        <v>13</v>
      </c>
      <c r="H3" s="286"/>
      <c r="I3" s="286"/>
      <c r="J3" s="286"/>
      <c r="K3" s="286"/>
      <c r="L3" s="286"/>
      <c r="M3" s="286"/>
    </row>
    <row r="4" spans="1:13" x14ac:dyDescent="0.25">
      <c r="A4" s="18"/>
      <c r="B4" s="80"/>
      <c r="C4" s="80"/>
      <c r="D4" s="80"/>
      <c r="E4" s="80"/>
      <c r="F4" s="80"/>
      <c r="G4" s="80"/>
      <c r="H4" s="80"/>
      <c r="I4" s="80"/>
      <c r="J4" s="80"/>
      <c r="K4" s="98"/>
      <c r="L4" s="82"/>
      <c r="M4" s="82"/>
    </row>
    <row r="5" spans="1:13" x14ac:dyDescent="0.25">
      <c r="A5" s="18"/>
      <c r="B5" s="83" t="s">
        <v>7</v>
      </c>
      <c r="C5" s="287" t="s">
        <v>4</v>
      </c>
      <c r="D5" s="287"/>
      <c r="E5" s="287"/>
      <c r="F5" s="287"/>
      <c r="G5" s="287"/>
      <c r="H5" s="287"/>
      <c r="I5" s="287"/>
      <c r="J5" s="287"/>
      <c r="K5" s="99" t="s">
        <v>5</v>
      </c>
      <c r="L5" s="85" t="s">
        <v>6</v>
      </c>
      <c r="M5" s="83"/>
    </row>
    <row r="6" spans="1:13" x14ac:dyDescent="0.25">
      <c r="A6" s="61" t="s">
        <v>69</v>
      </c>
      <c r="B6" s="96">
        <v>45017</v>
      </c>
      <c r="C6" s="309" t="s">
        <v>69</v>
      </c>
      <c r="D6" s="310"/>
      <c r="E6" s="310"/>
      <c r="F6" s="310"/>
      <c r="G6" s="310"/>
      <c r="H6" s="310"/>
      <c r="I6" s="311"/>
      <c r="J6" s="38"/>
      <c r="K6" s="41"/>
      <c r="L6" s="41"/>
      <c r="M6" s="41"/>
    </row>
    <row r="7" spans="1:13" x14ac:dyDescent="0.25">
      <c r="A7" s="61" t="s">
        <v>30</v>
      </c>
      <c r="B7" s="96">
        <v>45018</v>
      </c>
      <c r="C7" s="316" t="s">
        <v>30</v>
      </c>
      <c r="D7" s="317"/>
      <c r="E7" s="317"/>
      <c r="F7" s="317"/>
      <c r="G7" s="317"/>
      <c r="H7" s="317"/>
      <c r="I7" s="318"/>
      <c r="J7" s="38"/>
      <c r="K7" s="41"/>
      <c r="L7" s="41"/>
      <c r="M7" s="41"/>
    </row>
    <row r="8" spans="1:13" ht="15" customHeight="1" x14ac:dyDescent="0.25">
      <c r="A8" t="s">
        <v>64</v>
      </c>
      <c r="B8" s="95">
        <v>45019</v>
      </c>
      <c r="C8" s="282" t="s">
        <v>449</v>
      </c>
      <c r="D8" s="282"/>
      <c r="E8" s="282"/>
      <c r="F8" s="282"/>
      <c r="G8" s="282"/>
      <c r="H8" s="282"/>
      <c r="I8" s="282"/>
      <c r="J8" s="11"/>
      <c r="K8" s="21">
        <v>0.39583333333333331</v>
      </c>
      <c r="L8" s="21">
        <v>1.8125</v>
      </c>
      <c r="M8" s="21">
        <f t="shared" ref="M8:M9" si="0">L8-K8</f>
        <v>1.4166666666666667</v>
      </c>
    </row>
    <row r="9" spans="1:13" ht="15" customHeight="1" x14ac:dyDescent="0.25">
      <c r="A9" t="s">
        <v>65</v>
      </c>
      <c r="B9" s="95">
        <v>45020</v>
      </c>
      <c r="C9" s="194" t="s">
        <v>451</v>
      </c>
      <c r="D9" s="194"/>
      <c r="E9" s="194"/>
      <c r="F9" s="194"/>
      <c r="G9" s="194"/>
      <c r="H9" s="194"/>
      <c r="I9" s="194"/>
      <c r="J9" s="18"/>
      <c r="K9" s="21">
        <v>0.39583333333333331</v>
      </c>
      <c r="L9" s="21">
        <v>1.8125</v>
      </c>
      <c r="M9" s="21">
        <f t="shared" si="0"/>
        <v>1.4166666666666667</v>
      </c>
    </row>
    <row r="10" spans="1:13" ht="15" customHeight="1" x14ac:dyDescent="0.25">
      <c r="A10" t="s">
        <v>96</v>
      </c>
      <c r="B10" s="95">
        <v>45021</v>
      </c>
      <c r="C10" s="194" t="s">
        <v>459</v>
      </c>
      <c r="D10" s="194"/>
      <c r="E10" s="194"/>
      <c r="F10" s="194"/>
      <c r="G10" s="194"/>
      <c r="H10" s="194"/>
      <c r="I10" s="194"/>
      <c r="J10" s="18"/>
      <c r="K10" s="21">
        <v>0.39583333333333331</v>
      </c>
      <c r="L10" s="21">
        <v>1.8125</v>
      </c>
      <c r="M10" s="21">
        <f t="shared" ref="M10:M12" si="1">L10-K10</f>
        <v>1.4166666666666667</v>
      </c>
    </row>
    <row r="11" spans="1:13" x14ac:dyDescent="0.25">
      <c r="A11" t="s">
        <v>67</v>
      </c>
      <c r="B11" s="95">
        <v>45022</v>
      </c>
      <c r="C11" s="299" t="s">
        <v>458</v>
      </c>
      <c r="D11" s="300"/>
      <c r="E11" s="300"/>
      <c r="F11" s="300"/>
      <c r="G11" s="300"/>
      <c r="H11" s="300"/>
      <c r="I11" s="301"/>
      <c r="J11" s="18"/>
      <c r="K11" s="21">
        <v>0.39583333333333331</v>
      </c>
      <c r="L11" s="21">
        <v>1.8541666666666665</v>
      </c>
      <c r="M11" s="21">
        <f t="shared" si="1"/>
        <v>1.4583333333333333</v>
      </c>
    </row>
    <row r="12" spans="1:13" ht="15" customHeight="1" x14ac:dyDescent="0.25">
      <c r="A12" t="s">
        <v>68</v>
      </c>
      <c r="B12" s="95">
        <v>45023</v>
      </c>
      <c r="C12" s="299" t="s">
        <v>450</v>
      </c>
      <c r="D12" s="300"/>
      <c r="E12" s="300"/>
      <c r="F12" s="300"/>
      <c r="G12" s="300"/>
      <c r="H12" s="300"/>
      <c r="I12" s="301"/>
      <c r="J12" s="77"/>
      <c r="K12" s="21">
        <v>0.39583333333333331</v>
      </c>
      <c r="L12" s="21">
        <v>1.8125</v>
      </c>
      <c r="M12" s="21">
        <f t="shared" si="1"/>
        <v>1.4166666666666667</v>
      </c>
    </row>
    <row r="13" spans="1:13" x14ac:dyDescent="0.25">
      <c r="A13" s="61" t="s">
        <v>69</v>
      </c>
      <c r="B13" s="96">
        <v>45024</v>
      </c>
      <c r="C13" s="103"/>
      <c r="D13" s="104"/>
      <c r="E13" s="104"/>
      <c r="F13" s="104"/>
      <c r="G13" s="104"/>
      <c r="H13" s="104"/>
      <c r="I13" s="105"/>
      <c r="J13" s="78"/>
      <c r="K13" s="41"/>
      <c r="L13" s="41"/>
      <c r="M13" s="41"/>
    </row>
    <row r="14" spans="1:13" x14ac:dyDescent="0.25">
      <c r="A14" s="61" t="s">
        <v>30</v>
      </c>
      <c r="B14" s="96">
        <v>45025</v>
      </c>
      <c r="C14" s="103"/>
      <c r="D14" s="104"/>
      <c r="E14" s="104"/>
      <c r="F14" s="104"/>
      <c r="G14" s="104"/>
      <c r="H14" s="104"/>
      <c r="I14" s="105"/>
      <c r="J14" s="78"/>
      <c r="K14" s="41"/>
      <c r="L14" s="41"/>
      <c r="M14" s="41"/>
    </row>
    <row r="15" spans="1:13" ht="15" customHeight="1" x14ac:dyDescent="0.25">
      <c r="A15" t="s">
        <v>64</v>
      </c>
      <c r="B15" s="95">
        <v>45026</v>
      </c>
      <c r="C15" s="299" t="s">
        <v>457</v>
      </c>
      <c r="D15" s="300"/>
      <c r="E15" s="300"/>
      <c r="F15" s="300"/>
      <c r="G15" s="300"/>
      <c r="H15" s="300"/>
      <c r="I15" s="301"/>
      <c r="J15" s="77"/>
      <c r="K15" s="21">
        <v>0.39583333333333331</v>
      </c>
      <c r="L15" s="21">
        <v>1.8541666666666665</v>
      </c>
      <c r="M15" s="21">
        <f t="shared" ref="M15:M18" si="2">L15-K15</f>
        <v>1.4583333333333333</v>
      </c>
    </row>
    <row r="16" spans="1:13" x14ac:dyDescent="0.25">
      <c r="A16" t="s">
        <v>65</v>
      </c>
      <c r="B16" s="95">
        <v>45027</v>
      </c>
      <c r="C16" s="194" t="s">
        <v>454</v>
      </c>
      <c r="D16" s="194"/>
      <c r="E16" s="194"/>
      <c r="F16" s="194"/>
      <c r="G16" s="194"/>
      <c r="H16" s="194"/>
      <c r="I16" s="194"/>
      <c r="J16" s="18"/>
      <c r="K16" s="21">
        <v>0.39583333333333331</v>
      </c>
      <c r="L16" s="21">
        <v>1.8541666666666665</v>
      </c>
      <c r="M16" s="21">
        <f t="shared" si="2"/>
        <v>1.4583333333333333</v>
      </c>
    </row>
    <row r="17" spans="1:13" ht="15" customHeight="1" x14ac:dyDescent="0.25">
      <c r="A17" t="s">
        <v>96</v>
      </c>
      <c r="B17" s="95">
        <v>45028</v>
      </c>
      <c r="C17" s="194" t="s">
        <v>453</v>
      </c>
      <c r="D17" s="194"/>
      <c r="E17" s="194"/>
      <c r="F17" s="194"/>
      <c r="G17" s="194"/>
      <c r="H17" s="194"/>
      <c r="I17" s="194"/>
      <c r="J17" s="18"/>
      <c r="K17" s="21">
        <v>0.39583333333333331</v>
      </c>
      <c r="L17" s="21">
        <v>1.8541666666666665</v>
      </c>
      <c r="M17" s="21">
        <f t="shared" si="2"/>
        <v>1.4583333333333333</v>
      </c>
    </row>
    <row r="18" spans="1:13" ht="15" customHeight="1" x14ac:dyDescent="0.25">
      <c r="A18" t="s">
        <v>67</v>
      </c>
      <c r="B18" s="95">
        <v>45029</v>
      </c>
      <c r="C18" s="259" t="s">
        <v>452</v>
      </c>
      <c r="D18" s="259"/>
      <c r="E18" s="259"/>
      <c r="F18" s="259"/>
      <c r="G18" s="259"/>
      <c r="H18" s="259"/>
      <c r="I18" s="259"/>
      <c r="J18" s="18"/>
      <c r="K18" s="21">
        <v>0.39583333333333331</v>
      </c>
      <c r="L18" s="21">
        <v>1.8541666666666665</v>
      </c>
      <c r="M18" s="21">
        <f t="shared" si="2"/>
        <v>1.4583333333333333</v>
      </c>
    </row>
    <row r="19" spans="1:13" x14ac:dyDescent="0.25">
      <c r="A19" t="s">
        <v>68</v>
      </c>
      <c r="B19" s="95">
        <v>45030</v>
      </c>
      <c r="C19" s="259" t="s">
        <v>455</v>
      </c>
      <c r="D19" s="259"/>
      <c r="E19" s="259"/>
      <c r="F19" s="259"/>
      <c r="G19" s="259"/>
      <c r="H19" s="259"/>
      <c r="I19" s="259"/>
      <c r="J19" s="77"/>
      <c r="K19" s="21">
        <v>0.39583333333333331</v>
      </c>
      <c r="L19" s="21">
        <v>1.8541666666666665</v>
      </c>
      <c r="M19" s="21">
        <f t="shared" ref="M19" si="3">L19-K19</f>
        <v>1.4583333333333333</v>
      </c>
    </row>
    <row r="20" spans="1:13" ht="15" customHeight="1" x14ac:dyDescent="0.25">
      <c r="A20" s="61" t="s">
        <v>69</v>
      </c>
      <c r="B20" s="96">
        <v>45031</v>
      </c>
      <c r="C20" s="284"/>
      <c r="D20" s="284"/>
      <c r="E20" s="284"/>
      <c r="F20" s="284"/>
      <c r="G20" s="284"/>
      <c r="H20" s="284"/>
      <c r="I20" s="284"/>
      <c r="J20" s="78"/>
      <c r="K20" s="41"/>
      <c r="L20" s="41"/>
      <c r="M20" s="41"/>
    </row>
    <row r="21" spans="1:13" ht="15" customHeight="1" x14ac:dyDescent="0.25">
      <c r="A21" s="61" t="s">
        <v>30</v>
      </c>
      <c r="B21" s="96">
        <v>45032</v>
      </c>
      <c r="C21" s="284"/>
      <c r="D21" s="284"/>
      <c r="E21" s="284"/>
      <c r="F21" s="284"/>
      <c r="G21" s="284"/>
      <c r="H21" s="284"/>
      <c r="I21" s="284"/>
      <c r="J21" s="42"/>
      <c r="K21" s="41"/>
      <c r="L21" s="41"/>
      <c r="M21" s="41"/>
    </row>
    <row r="22" spans="1:13" x14ac:dyDescent="0.25">
      <c r="A22" t="s">
        <v>64</v>
      </c>
      <c r="B22" s="95">
        <v>45033</v>
      </c>
      <c r="C22" s="259" t="s">
        <v>456</v>
      </c>
      <c r="D22" s="259"/>
      <c r="E22" s="259"/>
      <c r="F22" s="259"/>
      <c r="G22" s="259"/>
      <c r="H22" s="259"/>
      <c r="I22" s="259"/>
      <c r="J22" s="18"/>
      <c r="K22" s="21">
        <v>0.39583333333333331</v>
      </c>
      <c r="L22" s="21">
        <v>1.8541666666666665</v>
      </c>
      <c r="M22" s="21">
        <f t="shared" ref="M22:M26" si="4">L22-K22</f>
        <v>1.4583333333333333</v>
      </c>
    </row>
    <row r="23" spans="1:13" x14ac:dyDescent="0.25">
      <c r="A23" t="s">
        <v>65</v>
      </c>
      <c r="B23" s="95">
        <v>45034</v>
      </c>
      <c r="C23" s="194" t="s">
        <v>460</v>
      </c>
      <c r="D23" s="194"/>
      <c r="E23" s="194"/>
      <c r="F23" s="194"/>
      <c r="G23" s="194"/>
      <c r="H23" s="194"/>
      <c r="I23" s="194"/>
      <c r="J23" s="18"/>
      <c r="K23" s="21">
        <v>0.39583333333333331</v>
      </c>
      <c r="L23" s="21">
        <v>1.8541666666666665</v>
      </c>
      <c r="M23" s="21">
        <f t="shared" si="4"/>
        <v>1.4583333333333333</v>
      </c>
    </row>
    <row r="24" spans="1:13" x14ac:dyDescent="0.25">
      <c r="A24" t="s">
        <v>96</v>
      </c>
      <c r="B24" s="95">
        <v>45035</v>
      </c>
      <c r="C24" s="194" t="s">
        <v>465</v>
      </c>
      <c r="D24" s="194"/>
      <c r="E24" s="194"/>
      <c r="F24" s="194"/>
      <c r="G24" s="194"/>
      <c r="H24" s="194"/>
      <c r="I24" s="194"/>
      <c r="J24" s="18"/>
      <c r="K24" s="21">
        <v>0.39583333333333331</v>
      </c>
      <c r="L24" s="21">
        <v>1.8541666666666665</v>
      </c>
      <c r="M24" s="21">
        <f t="shared" si="4"/>
        <v>1.4583333333333333</v>
      </c>
    </row>
    <row r="25" spans="1:13" x14ac:dyDescent="0.25">
      <c r="A25" t="s">
        <v>67</v>
      </c>
      <c r="B25" s="95">
        <v>45036</v>
      </c>
      <c r="C25" s="305" t="s">
        <v>461</v>
      </c>
      <c r="D25" s="305"/>
      <c r="E25" s="305"/>
      <c r="F25" s="305"/>
      <c r="G25" s="305"/>
      <c r="H25" s="305"/>
      <c r="I25" s="305"/>
      <c r="J25" s="18"/>
      <c r="K25" s="21">
        <v>0.39583333333333331</v>
      </c>
      <c r="L25" s="21">
        <v>1.8541666666666665</v>
      </c>
      <c r="M25" s="21">
        <f t="shared" si="4"/>
        <v>1.4583333333333333</v>
      </c>
    </row>
    <row r="26" spans="1:13" x14ac:dyDescent="0.25">
      <c r="A26" t="s">
        <v>68</v>
      </c>
      <c r="B26" s="95">
        <v>45037</v>
      </c>
      <c r="C26" s="259" t="s">
        <v>462</v>
      </c>
      <c r="D26" s="259"/>
      <c r="E26" s="259"/>
      <c r="F26" s="259"/>
      <c r="G26" s="259"/>
      <c r="H26" s="259"/>
      <c r="I26" s="259"/>
      <c r="J26" s="37"/>
      <c r="K26" s="21">
        <v>0.39583333333333331</v>
      </c>
      <c r="L26" s="21">
        <v>1.8541666666666665</v>
      </c>
      <c r="M26" s="21">
        <f t="shared" si="4"/>
        <v>1.4583333333333333</v>
      </c>
    </row>
    <row r="27" spans="1:13" x14ac:dyDescent="0.25">
      <c r="A27" s="61" t="s">
        <v>69</v>
      </c>
      <c r="B27" s="96">
        <v>45038</v>
      </c>
      <c r="C27" s="284"/>
      <c r="D27" s="284"/>
      <c r="E27" s="284"/>
      <c r="F27" s="284"/>
      <c r="G27" s="284"/>
      <c r="H27" s="284"/>
      <c r="I27" s="284"/>
      <c r="J27" s="44"/>
      <c r="K27" s="41"/>
      <c r="L27" s="41"/>
      <c r="M27" s="41"/>
    </row>
    <row r="28" spans="1:13" x14ac:dyDescent="0.25">
      <c r="A28" s="61" t="s">
        <v>30</v>
      </c>
      <c r="B28" s="96">
        <v>45039</v>
      </c>
      <c r="C28" s="279"/>
      <c r="D28" s="279"/>
      <c r="E28" s="279"/>
      <c r="F28" s="279"/>
      <c r="G28" s="279"/>
      <c r="H28" s="279"/>
      <c r="I28" s="279"/>
      <c r="J28" s="44"/>
      <c r="K28" s="41"/>
      <c r="L28" s="41"/>
      <c r="M28" s="41"/>
    </row>
    <row r="29" spans="1:13" x14ac:dyDescent="0.25">
      <c r="A29" t="s">
        <v>64</v>
      </c>
      <c r="B29" s="95">
        <v>45040</v>
      </c>
      <c r="C29" s="312" t="s">
        <v>464</v>
      </c>
      <c r="D29" s="313"/>
      <c r="E29" s="313"/>
      <c r="F29" s="313"/>
      <c r="G29" s="313"/>
      <c r="H29" s="313"/>
      <c r="I29" s="314"/>
      <c r="J29" s="37"/>
      <c r="K29" s="21">
        <v>0.39583333333333331</v>
      </c>
      <c r="L29" s="21">
        <v>1.8541666666666665</v>
      </c>
      <c r="M29" s="21">
        <f t="shared" ref="M29:M31" si="5">L29-K29</f>
        <v>1.4583333333333333</v>
      </c>
    </row>
    <row r="30" spans="1:13" ht="15" customHeight="1" x14ac:dyDescent="0.25">
      <c r="A30" t="s">
        <v>65</v>
      </c>
      <c r="B30" s="95">
        <v>45041</v>
      </c>
      <c r="C30" s="194" t="s">
        <v>466</v>
      </c>
      <c r="D30" s="194"/>
      <c r="E30" s="194"/>
      <c r="F30" s="194"/>
      <c r="G30" s="194"/>
      <c r="H30" s="194"/>
      <c r="I30" s="194"/>
      <c r="J30" s="18"/>
      <c r="K30" s="21">
        <v>0.39583333333333331</v>
      </c>
      <c r="L30" s="21">
        <v>1.8541666666666665</v>
      </c>
      <c r="M30" s="21">
        <f t="shared" si="5"/>
        <v>1.4583333333333333</v>
      </c>
    </row>
    <row r="31" spans="1:13" ht="15" customHeight="1" x14ac:dyDescent="0.25">
      <c r="A31" t="s">
        <v>96</v>
      </c>
      <c r="B31" s="95">
        <v>45042</v>
      </c>
      <c r="C31" s="194" t="s">
        <v>463</v>
      </c>
      <c r="D31" s="194"/>
      <c r="E31" s="194"/>
      <c r="F31" s="194"/>
      <c r="G31" s="194"/>
      <c r="H31" s="194"/>
      <c r="I31" s="194"/>
      <c r="J31" s="18"/>
      <c r="K31" s="21">
        <v>0.39583333333333331</v>
      </c>
      <c r="L31" s="21">
        <v>1.9993055555555554</v>
      </c>
      <c r="M31" s="21">
        <f t="shared" si="5"/>
        <v>1.6034722222222222</v>
      </c>
    </row>
    <row r="32" spans="1:13" ht="15" customHeight="1" x14ac:dyDescent="0.25">
      <c r="A32" t="s">
        <v>67</v>
      </c>
      <c r="B32" s="95">
        <v>45043</v>
      </c>
      <c r="C32" s="194" t="s">
        <v>468</v>
      </c>
      <c r="D32" s="194"/>
      <c r="E32" s="194"/>
      <c r="F32" s="194"/>
      <c r="G32" s="194"/>
      <c r="H32" s="194"/>
      <c r="I32" s="194"/>
      <c r="J32" s="18"/>
      <c r="K32" s="21">
        <v>0.39583333333333331</v>
      </c>
      <c r="L32" s="21">
        <v>1.9993055555555554</v>
      </c>
      <c r="M32" s="21">
        <f t="shared" ref="M32:M33" si="6">L32-K32</f>
        <v>1.6034722222222222</v>
      </c>
    </row>
    <row r="33" spans="1:13" x14ac:dyDescent="0.25">
      <c r="A33" t="s">
        <v>68</v>
      </c>
      <c r="B33" s="95">
        <v>45044</v>
      </c>
      <c r="C33" s="194" t="s">
        <v>469</v>
      </c>
      <c r="D33" s="194"/>
      <c r="E33" s="194"/>
      <c r="F33" s="194"/>
      <c r="G33" s="194"/>
      <c r="H33" s="194"/>
      <c r="I33" s="194"/>
      <c r="J33" s="18"/>
      <c r="K33" s="21">
        <v>0.39583333333333331</v>
      </c>
      <c r="L33" s="21">
        <v>1.8125</v>
      </c>
      <c r="M33" s="21">
        <f t="shared" si="6"/>
        <v>1.4166666666666667</v>
      </c>
    </row>
    <row r="34" spans="1:13" x14ac:dyDescent="0.25">
      <c r="A34" s="61" t="s">
        <v>69</v>
      </c>
      <c r="B34" s="96">
        <v>45045</v>
      </c>
      <c r="C34" s="279"/>
      <c r="D34" s="279"/>
      <c r="E34" s="279"/>
      <c r="F34" s="279"/>
      <c r="G34" s="279"/>
      <c r="H34" s="279"/>
      <c r="I34" s="279"/>
      <c r="J34" s="42"/>
      <c r="K34" s="41"/>
      <c r="L34" s="41"/>
      <c r="M34" s="41"/>
    </row>
    <row r="35" spans="1:13" x14ac:dyDescent="0.25">
      <c r="A35" s="61" t="s">
        <v>30</v>
      </c>
      <c r="B35" s="96">
        <v>45046</v>
      </c>
      <c r="C35" s="279"/>
      <c r="D35" s="279"/>
      <c r="E35" s="279"/>
      <c r="F35" s="279"/>
      <c r="G35" s="279"/>
      <c r="H35" s="279"/>
      <c r="I35" s="279"/>
      <c r="J35" s="42"/>
      <c r="K35" s="41"/>
      <c r="L35" s="41"/>
      <c r="M35" s="41"/>
    </row>
    <row r="36" spans="1:13" x14ac:dyDescent="0.25">
      <c r="A36" s="61" t="s">
        <v>64</v>
      </c>
      <c r="B36" s="96">
        <v>45047</v>
      </c>
      <c r="C36" s="297" t="s">
        <v>467</v>
      </c>
      <c r="D36" s="297"/>
      <c r="E36" s="297"/>
      <c r="F36" s="297"/>
      <c r="G36" s="297"/>
      <c r="H36" s="297"/>
      <c r="I36" s="297"/>
      <c r="J36" s="42"/>
      <c r="K36" s="41"/>
      <c r="L36" s="41"/>
      <c r="M36" s="41">
        <f t="shared" ref="M36" si="7">L36-K36</f>
        <v>0</v>
      </c>
    </row>
    <row r="1048576" spans="11:12" x14ac:dyDescent="0.25">
      <c r="K1048576" s="21">
        <v>0.41666666666666669</v>
      </c>
      <c r="L1048576" s="21">
        <v>0.75</v>
      </c>
    </row>
  </sheetData>
  <mergeCells count="35">
    <mergeCell ref="C36:I36"/>
    <mergeCell ref="C25:I25"/>
    <mergeCell ref="C26:I26"/>
    <mergeCell ref="C27:I27"/>
    <mergeCell ref="C28:I28"/>
    <mergeCell ref="C29:I29"/>
    <mergeCell ref="C30:I30"/>
    <mergeCell ref="C31:I31"/>
    <mergeCell ref="C32:I32"/>
    <mergeCell ref="C33:I33"/>
    <mergeCell ref="C34:I34"/>
    <mergeCell ref="C35:I35"/>
    <mergeCell ref="C24:I24"/>
    <mergeCell ref="C15:I15"/>
    <mergeCell ref="C16:I16"/>
    <mergeCell ref="C17:I17"/>
    <mergeCell ref="C18:I18"/>
    <mergeCell ref="C19:I19"/>
    <mergeCell ref="C20:I20"/>
    <mergeCell ref="C21:I21"/>
    <mergeCell ref="C22:I22"/>
    <mergeCell ref="C23:I23"/>
    <mergeCell ref="C8:I8"/>
    <mergeCell ref="C9:I9"/>
    <mergeCell ref="C10:I10"/>
    <mergeCell ref="C11:I11"/>
    <mergeCell ref="C12:I12"/>
    <mergeCell ref="C6:I6"/>
    <mergeCell ref="C7:I7"/>
    <mergeCell ref="B1:M1"/>
    <mergeCell ref="C2:E2"/>
    <mergeCell ref="G2:M2"/>
    <mergeCell ref="C3:E3"/>
    <mergeCell ref="G3:M3"/>
    <mergeCell ref="C5:J5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6AE9B-BF7D-483B-9F3C-BFEFB0039D6C}">
  <dimension ref="A1:M1048576"/>
  <sheetViews>
    <sheetView zoomScaleNormal="100" workbookViewId="0">
      <selection activeCell="C36" sqref="C36:I36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5" max="5" width="23.85546875" customWidth="1"/>
    <col min="6" max="6" width="54.140625" customWidth="1"/>
    <col min="9" max="9" width="36.140625" customWidth="1"/>
    <col min="11" max="11" width="11.5703125" style="102" bestFit="1" customWidth="1"/>
    <col min="12" max="12" width="9.140625" style="23"/>
    <col min="13" max="13" width="6.28515625" bestFit="1" customWidth="1"/>
  </cols>
  <sheetData>
    <row r="1" spans="1:13" ht="18.75" x14ac:dyDescent="0.3">
      <c r="A1" s="18"/>
      <c r="B1" s="285" t="s">
        <v>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x14ac:dyDescent="0.25">
      <c r="A2" s="18"/>
      <c r="B2" s="79" t="s">
        <v>1</v>
      </c>
      <c r="C2" s="286" t="s">
        <v>34</v>
      </c>
      <c r="D2" s="286"/>
      <c r="E2" s="286"/>
      <c r="F2" s="79" t="s">
        <v>8</v>
      </c>
      <c r="G2" s="286" t="s">
        <v>35</v>
      </c>
      <c r="H2" s="286"/>
      <c r="I2" s="286"/>
      <c r="J2" s="286"/>
      <c r="K2" s="286"/>
      <c r="L2" s="286"/>
      <c r="M2" s="286"/>
    </row>
    <row r="3" spans="1:13" x14ac:dyDescent="0.25">
      <c r="A3" s="18"/>
      <c r="B3" s="79" t="s">
        <v>2</v>
      </c>
      <c r="C3" s="286" t="s">
        <v>36</v>
      </c>
      <c r="D3" s="286"/>
      <c r="E3" s="286"/>
      <c r="F3" s="79" t="s">
        <v>3</v>
      </c>
      <c r="G3" s="286" t="s">
        <v>13</v>
      </c>
      <c r="H3" s="286"/>
      <c r="I3" s="286"/>
      <c r="J3" s="286"/>
      <c r="K3" s="286"/>
      <c r="L3" s="286"/>
      <c r="M3" s="286"/>
    </row>
    <row r="4" spans="1:13" x14ac:dyDescent="0.25">
      <c r="A4" s="18"/>
      <c r="B4" s="80"/>
      <c r="C4" s="80"/>
      <c r="D4" s="80"/>
      <c r="E4" s="80"/>
      <c r="F4" s="80"/>
      <c r="G4" s="80"/>
      <c r="H4" s="80"/>
      <c r="I4" s="80"/>
      <c r="J4" s="80"/>
      <c r="K4" s="98"/>
      <c r="L4" s="82"/>
      <c r="M4" s="82"/>
    </row>
    <row r="5" spans="1:13" x14ac:dyDescent="0.25">
      <c r="A5" s="18"/>
      <c r="B5" s="83" t="s">
        <v>7</v>
      </c>
      <c r="C5" s="287" t="s">
        <v>4</v>
      </c>
      <c r="D5" s="287"/>
      <c r="E5" s="287"/>
      <c r="F5" s="287"/>
      <c r="G5" s="287"/>
      <c r="H5" s="287"/>
      <c r="I5" s="287"/>
      <c r="J5" s="287"/>
      <c r="K5" s="99" t="s">
        <v>5</v>
      </c>
      <c r="L5" s="85" t="s">
        <v>6</v>
      </c>
      <c r="M5" s="83"/>
    </row>
    <row r="6" spans="1:13" x14ac:dyDescent="0.25">
      <c r="A6" t="s">
        <v>96</v>
      </c>
      <c r="B6" s="95">
        <v>44986</v>
      </c>
      <c r="C6" s="319" t="s">
        <v>269</v>
      </c>
      <c r="D6" s="320"/>
      <c r="E6" s="320"/>
      <c r="F6" s="320"/>
      <c r="G6" s="320"/>
      <c r="H6" s="320"/>
      <c r="I6" s="321"/>
      <c r="J6" s="11"/>
      <c r="K6" s="21">
        <v>0.39583333333333331</v>
      </c>
      <c r="L6" s="21">
        <v>1.8125</v>
      </c>
      <c r="M6" s="21">
        <f t="shared" ref="M6:M7" si="0">L6-K6</f>
        <v>1.4166666666666667</v>
      </c>
    </row>
    <row r="7" spans="1:13" x14ac:dyDescent="0.25">
      <c r="A7" t="s">
        <v>67</v>
      </c>
      <c r="B7" s="95">
        <v>44987</v>
      </c>
      <c r="C7" s="302"/>
      <c r="D7" s="303"/>
      <c r="E7" s="303"/>
      <c r="F7" s="303"/>
      <c r="G7" s="303"/>
      <c r="H7" s="303"/>
      <c r="I7" s="304"/>
      <c r="J7" s="11"/>
      <c r="K7" s="21">
        <v>0.39583333333333331</v>
      </c>
      <c r="L7" s="21">
        <v>1.8125</v>
      </c>
      <c r="M7" s="21">
        <f t="shared" si="0"/>
        <v>1.4166666666666667</v>
      </c>
    </row>
    <row r="8" spans="1:13" ht="15" customHeight="1" x14ac:dyDescent="0.25">
      <c r="A8" t="s">
        <v>68</v>
      </c>
      <c r="B8" s="95">
        <v>44988</v>
      </c>
      <c r="C8" s="282" t="s">
        <v>434</v>
      </c>
      <c r="D8" s="282"/>
      <c r="E8" s="282"/>
      <c r="F8" s="282"/>
      <c r="G8" s="282"/>
      <c r="H8" s="282"/>
      <c r="I8" s="282"/>
      <c r="J8" s="11"/>
      <c r="K8" s="21">
        <v>0.39583333333333331</v>
      </c>
      <c r="L8" s="21">
        <v>1.8125</v>
      </c>
      <c r="M8" s="21">
        <f t="shared" ref="M8" si="1">L8-K8</f>
        <v>1.4166666666666667</v>
      </c>
    </row>
    <row r="9" spans="1:13" ht="15" customHeight="1" x14ac:dyDescent="0.25">
      <c r="A9" s="61" t="s">
        <v>69</v>
      </c>
      <c r="B9" s="96">
        <v>44989</v>
      </c>
      <c r="C9" s="279" t="s">
        <v>69</v>
      </c>
      <c r="D9" s="279"/>
      <c r="E9" s="279"/>
      <c r="F9" s="279"/>
      <c r="G9" s="279"/>
      <c r="H9" s="279"/>
      <c r="I9" s="279"/>
      <c r="J9" s="42"/>
      <c r="K9" s="101"/>
      <c r="L9" s="41"/>
      <c r="M9" s="49"/>
    </row>
    <row r="10" spans="1:13" ht="15" customHeight="1" x14ac:dyDescent="0.25">
      <c r="A10" s="61" t="s">
        <v>30</v>
      </c>
      <c r="B10" s="96">
        <v>44990</v>
      </c>
      <c r="C10" s="279" t="s">
        <v>30</v>
      </c>
      <c r="D10" s="279"/>
      <c r="E10" s="279"/>
      <c r="F10" s="279"/>
      <c r="G10" s="279"/>
      <c r="H10" s="279"/>
      <c r="I10" s="279"/>
      <c r="J10" s="42"/>
      <c r="K10" s="101"/>
      <c r="L10" s="41"/>
      <c r="M10" s="49"/>
    </row>
    <row r="11" spans="1:13" x14ac:dyDescent="0.25">
      <c r="A11" t="s">
        <v>64</v>
      </c>
      <c r="B11" s="95">
        <v>44991</v>
      </c>
      <c r="C11" s="299" t="s">
        <v>433</v>
      </c>
      <c r="D11" s="300"/>
      <c r="E11" s="300"/>
      <c r="F11" s="300"/>
      <c r="G11" s="300"/>
      <c r="H11" s="300"/>
      <c r="I11" s="301"/>
      <c r="J11" s="18"/>
      <c r="K11" s="21">
        <v>0.91666666666666663</v>
      </c>
      <c r="L11" s="21">
        <v>1.2916666666666667</v>
      </c>
      <c r="M11" s="21">
        <f t="shared" ref="M11:M15" si="2">L11-K11</f>
        <v>0.37500000000000011</v>
      </c>
    </row>
    <row r="12" spans="1:13" ht="15" customHeight="1" x14ac:dyDescent="0.25">
      <c r="A12" t="s">
        <v>65</v>
      </c>
      <c r="B12" s="95">
        <v>44992</v>
      </c>
      <c r="C12" s="299" t="s">
        <v>432</v>
      </c>
      <c r="D12" s="300"/>
      <c r="E12" s="300"/>
      <c r="F12" s="300"/>
      <c r="G12" s="300"/>
      <c r="H12" s="300"/>
      <c r="I12" s="301"/>
      <c r="J12" s="77"/>
      <c r="K12" s="21">
        <v>0.91666666666666663</v>
      </c>
      <c r="L12" s="21">
        <v>1.2916666666666667</v>
      </c>
      <c r="M12" s="21">
        <f t="shared" si="2"/>
        <v>0.37500000000000011</v>
      </c>
    </row>
    <row r="13" spans="1:13" x14ac:dyDescent="0.25">
      <c r="A13" t="s">
        <v>96</v>
      </c>
      <c r="B13" s="95">
        <v>44993</v>
      </c>
      <c r="C13" s="299" t="s">
        <v>431</v>
      </c>
      <c r="D13" s="300"/>
      <c r="E13" s="300"/>
      <c r="F13" s="300"/>
      <c r="G13" s="300"/>
      <c r="H13" s="300"/>
      <c r="I13" s="301"/>
      <c r="J13" s="77"/>
      <c r="K13" s="21">
        <v>0.70833333333333337</v>
      </c>
      <c r="L13" s="21">
        <v>1.2916666666666667</v>
      </c>
      <c r="M13" s="21">
        <f t="shared" si="2"/>
        <v>0.58333333333333337</v>
      </c>
    </row>
    <row r="14" spans="1:13" x14ac:dyDescent="0.25">
      <c r="A14" t="s">
        <v>67</v>
      </c>
      <c r="B14" s="95">
        <v>44994</v>
      </c>
      <c r="C14" s="299" t="s">
        <v>435</v>
      </c>
      <c r="D14" s="300"/>
      <c r="E14" s="300"/>
      <c r="F14" s="300"/>
      <c r="G14" s="300"/>
      <c r="H14" s="300"/>
      <c r="I14" s="301"/>
      <c r="J14" s="77"/>
      <c r="K14" s="21">
        <v>0.85416666666666663</v>
      </c>
      <c r="L14" s="21">
        <v>1.2916666666666667</v>
      </c>
      <c r="M14" s="21">
        <f t="shared" si="2"/>
        <v>0.43750000000000011</v>
      </c>
    </row>
    <row r="15" spans="1:13" ht="15" customHeight="1" x14ac:dyDescent="0.25">
      <c r="A15" t="s">
        <v>68</v>
      </c>
      <c r="B15" s="95">
        <v>44995</v>
      </c>
      <c r="C15" s="299" t="s">
        <v>436</v>
      </c>
      <c r="D15" s="300"/>
      <c r="E15" s="300"/>
      <c r="F15" s="300"/>
      <c r="G15" s="300"/>
      <c r="H15" s="300"/>
      <c r="I15" s="301"/>
      <c r="J15" s="77"/>
      <c r="K15" s="21">
        <v>0.91666666666666663</v>
      </c>
      <c r="L15" s="21">
        <v>1.2916666666666667</v>
      </c>
      <c r="M15" s="21">
        <f t="shared" si="2"/>
        <v>0.37500000000000011</v>
      </c>
    </row>
    <row r="16" spans="1:13" x14ac:dyDescent="0.25">
      <c r="A16" s="61" t="s">
        <v>69</v>
      </c>
      <c r="B16" s="96">
        <v>44996</v>
      </c>
      <c r="C16" s="279" t="s">
        <v>69</v>
      </c>
      <c r="D16" s="279"/>
      <c r="E16" s="279"/>
      <c r="F16" s="279"/>
      <c r="G16" s="279"/>
      <c r="H16" s="279"/>
      <c r="I16" s="279"/>
      <c r="J16" s="42"/>
      <c r="K16" s="101"/>
      <c r="L16" s="41"/>
      <c r="M16" s="49"/>
    </row>
    <row r="17" spans="1:13" ht="15" customHeight="1" x14ac:dyDescent="0.25">
      <c r="A17" s="61" t="s">
        <v>30</v>
      </c>
      <c r="B17" s="96">
        <v>44997</v>
      </c>
      <c r="C17" s="279" t="s">
        <v>30</v>
      </c>
      <c r="D17" s="279"/>
      <c r="E17" s="279"/>
      <c r="F17" s="279"/>
      <c r="G17" s="279"/>
      <c r="H17" s="279"/>
      <c r="I17" s="279"/>
      <c r="J17" s="42"/>
      <c r="K17" s="101"/>
      <c r="L17" s="41"/>
      <c r="M17" s="49"/>
    </row>
    <row r="18" spans="1:13" ht="15" customHeight="1" x14ac:dyDescent="0.25">
      <c r="A18" t="s">
        <v>64</v>
      </c>
      <c r="B18" s="95">
        <v>44998</v>
      </c>
      <c r="C18" s="259" t="s">
        <v>438</v>
      </c>
      <c r="D18" s="259"/>
      <c r="E18" s="259"/>
      <c r="F18" s="259"/>
      <c r="G18" s="259"/>
      <c r="H18" s="259"/>
      <c r="I18" s="259"/>
      <c r="J18" s="18"/>
      <c r="K18" s="21">
        <v>0.8125</v>
      </c>
      <c r="L18" s="21">
        <v>1.25</v>
      </c>
      <c r="M18" s="21">
        <f t="shared" ref="M18" si="3">L18-K18</f>
        <v>0.4375</v>
      </c>
    </row>
    <row r="19" spans="1:13" x14ac:dyDescent="0.25">
      <c r="A19" t="s">
        <v>65</v>
      </c>
      <c r="B19" s="95">
        <v>44999</v>
      </c>
      <c r="C19" s="259" t="s">
        <v>438</v>
      </c>
      <c r="D19" s="259"/>
      <c r="E19" s="259"/>
      <c r="F19" s="259"/>
      <c r="G19" s="259"/>
      <c r="H19" s="259"/>
      <c r="I19" s="259"/>
      <c r="J19" s="77"/>
      <c r="K19" s="21">
        <v>0.8125</v>
      </c>
      <c r="L19" s="21">
        <v>1.25</v>
      </c>
      <c r="M19" s="21">
        <f t="shared" ref="M19:M21" si="4">L19-K19</f>
        <v>0.4375</v>
      </c>
    </row>
    <row r="20" spans="1:13" ht="15" customHeight="1" x14ac:dyDescent="0.25">
      <c r="A20" t="s">
        <v>96</v>
      </c>
      <c r="B20" s="95">
        <v>45000</v>
      </c>
      <c r="C20" s="259" t="s">
        <v>437</v>
      </c>
      <c r="D20" s="259"/>
      <c r="E20" s="259"/>
      <c r="F20" s="259"/>
      <c r="G20" s="259"/>
      <c r="H20" s="259"/>
      <c r="I20" s="259"/>
      <c r="J20" s="77"/>
      <c r="K20" s="21">
        <v>0.8125</v>
      </c>
      <c r="L20" s="21">
        <v>1.25</v>
      </c>
      <c r="M20" s="21">
        <f t="shared" si="4"/>
        <v>0.4375</v>
      </c>
    </row>
    <row r="21" spans="1:13" ht="15" customHeight="1" x14ac:dyDescent="0.25">
      <c r="A21" t="s">
        <v>67</v>
      </c>
      <c r="B21" s="95">
        <v>45001</v>
      </c>
      <c r="C21" s="259" t="s">
        <v>439</v>
      </c>
      <c r="D21" s="259"/>
      <c r="E21" s="259"/>
      <c r="F21" s="259"/>
      <c r="G21" s="259"/>
      <c r="H21" s="259"/>
      <c r="I21" s="259"/>
      <c r="J21" s="18"/>
      <c r="K21" s="21">
        <v>0.875</v>
      </c>
      <c r="L21" s="21">
        <v>1.25</v>
      </c>
      <c r="M21" s="21">
        <f t="shared" si="4"/>
        <v>0.375</v>
      </c>
    </row>
    <row r="22" spans="1:13" x14ac:dyDescent="0.25">
      <c r="A22" t="s">
        <v>68</v>
      </c>
      <c r="B22" s="95">
        <v>45002</v>
      </c>
      <c r="C22" s="259" t="s">
        <v>440</v>
      </c>
      <c r="D22" s="259"/>
      <c r="E22" s="259"/>
      <c r="F22" s="259"/>
      <c r="G22" s="259"/>
      <c r="H22" s="259"/>
      <c r="I22" s="259"/>
      <c r="J22" s="18"/>
      <c r="K22" s="21">
        <v>0.875</v>
      </c>
      <c r="L22" s="21">
        <v>1.25</v>
      </c>
      <c r="M22" s="21">
        <f t="shared" ref="M22" si="5">L22-K22</f>
        <v>0.375</v>
      </c>
    </row>
    <row r="23" spans="1:13" x14ac:dyDescent="0.25">
      <c r="A23" s="61" t="s">
        <v>69</v>
      </c>
      <c r="B23" s="96">
        <v>45003</v>
      </c>
      <c r="C23" s="279" t="s">
        <v>69</v>
      </c>
      <c r="D23" s="279"/>
      <c r="E23" s="279"/>
      <c r="F23" s="279"/>
      <c r="G23" s="279"/>
      <c r="H23" s="279"/>
      <c r="I23" s="279"/>
      <c r="J23" s="42"/>
      <c r="K23" s="101"/>
      <c r="L23" s="41"/>
      <c r="M23" s="49"/>
    </row>
    <row r="24" spans="1:13" x14ac:dyDescent="0.25">
      <c r="A24" s="61" t="s">
        <v>30</v>
      </c>
      <c r="B24" s="96">
        <v>45004</v>
      </c>
      <c r="C24" s="279" t="s">
        <v>30</v>
      </c>
      <c r="D24" s="279"/>
      <c r="E24" s="279"/>
      <c r="F24" s="279"/>
      <c r="G24" s="279"/>
      <c r="H24" s="279"/>
      <c r="I24" s="279"/>
      <c r="J24" s="42"/>
      <c r="K24" s="101"/>
      <c r="L24" s="41"/>
      <c r="M24" s="49"/>
    </row>
    <row r="25" spans="1:13" x14ac:dyDescent="0.25">
      <c r="A25" t="s">
        <v>64</v>
      </c>
      <c r="B25" s="95">
        <v>45005</v>
      </c>
      <c r="C25" s="305" t="s">
        <v>441</v>
      </c>
      <c r="D25" s="305"/>
      <c r="E25" s="305"/>
      <c r="F25" s="305"/>
      <c r="G25" s="305"/>
      <c r="H25" s="305"/>
      <c r="I25" s="305"/>
      <c r="J25" s="18"/>
      <c r="K25" s="21">
        <v>0.39583333333333331</v>
      </c>
      <c r="L25" s="21">
        <v>0.77083333333333337</v>
      </c>
      <c r="M25" s="21">
        <f t="shared" ref="M25:M29" si="6">L25-K25</f>
        <v>0.37500000000000006</v>
      </c>
    </row>
    <row r="26" spans="1:13" x14ac:dyDescent="0.25">
      <c r="A26" t="s">
        <v>65</v>
      </c>
      <c r="B26" s="95">
        <v>45006</v>
      </c>
      <c r="C26" s="259" t="s">
        <v>442</v>
      </c>
      <c r="D26" s="259"/>
      <c r="E26" s="259"/>
      <c r="F26" s="259"/>
      <c r="G26" s="259"/>
      <c r="H26" s="259"/>
      <c r="I26" s="259"/>
      <c r="J26" s="37"/>
      <c r="K26" s="21">
        <v>0.39583333333333331</v>
      </c>
      <c r="L26" s="21">
        <v>1.8125</v>
      </c>
      <c r="M26" s="21">
        <f t="shared" si="6"/>
        <v>1.4166666666666667</v>
      </c>
    </row>
    <row r="27" spans="1:13" x14ac:dyDescent="0.25">
      <c r="A27" t="s">
        <v>96</v>
      </c>
      <c r="B27" s="95">
        <v>45007</v>
      </c>
      <c r="C27" s="259" t="s">
        <v>441</v>
      </c>
      <c r="D27" s="259"/>
      <c r="E27" s="259"/>
      <c r="F27" s="259"/>
      <c r="G27" s="259"/>
      <c r="H27" s="259"/>
      <c r="I27" s="259"/>
      <c r="J27" s="37"/>
      <c r="K27" s="21">
        <v>0.39583333333333331</v>
      </c>
      <c r="L27" s="21">
        <v>1.8125</v>
      </c>
      <c r="M27" s="21">
        <f t="shared" si="6"/>
        <v>1.4166666666666667</v>
      </c>
    </row>
    <row r="28" spans="1:13" x14ac:dyDescent="0.25">
      <c r="A28" t="s">
        <v>67</v>
      </c>
      <c r="B28" s="95">
        <v>45008</v>
      </c>
      <c r="C28" s="194" t="s">
        <v>443</v>
      </c>
      <c r="D28" s="194"/>
      <c r="E28" s="194"/>
      <c r="F28" s="194"/>
      <c r="G28" s="194"/>
      <c r="H28" s="194"/>
      <c r="I28" s="194"/>
      <c r="J28" s="37"/>
      <c r="K28" s="21">
        <v>0.39583333333333331</v>
      </c>
      <c r="L28" s="21">
        <v>1.8125</v>
      </c>
      <c r="M28" s="21">
        <f t="shared" si="6"/>
        <v>1.4166666666666667</v>
      </c>
    </row>
    <row r="29" spans="1:13" x14ac:dyDescent="0.25">
      <c r="A29" t="s">
        <v>68</v>
      </c>
      <c r="B29" s="95">
        <v>45009</v>
      </c>
      <c r="C29" s="312" t="s">
        <v>444</v>
      </c>
      <c r="D29" s="313"/>
      <c r="E29" s="313"/>
      <c r="F29" s="313"/>
      <c r="G29" s="313"/>
      <c r="H29" s="313"/>
      <c r="I29" s="314"/>
      <c r="J29" s="37"/>
      <c r="K29" s="21">
        <v>0.39583333333333331</v>
      </c>
      <c r="L29" s="21">
        <v>1.8125</v>
      </c>
      <c r="M29" s="21">
        <f t="shared" si="6"/>
        <v>1.4166666666666667</v>
      </c>
    </row>
    <row r="30" spans="1:13" ht="15" customHeight="1" x14ac:dyDescent="0.25">
      <c r="A30" s="61" t="s">
        <v>69</v>
      </c>
      <c r="B30" s="96">
        <v>45010</v>
      </c>
      <c r="C30" s="279" t="s">
        <v>69</v>
      </c>
      <c r="D30" s="279"/>
      <c r="E30" s="279"/>
      <c r="F30" s="279"/>
      <c r="G30" s="279"/>
      <c r="H30" s="279"/>
      <c r="I30" s="279"/>
      <c r="J30" s="42"/>
      <c r="K30" s="101"/>
      <c r="L30" s="41"/>
      <c r="M30" s="49"/>
    </row>
    <row r="31" spans="1:13" ht="15" customHeight="1" x14ac:dyDescent="0.25">
      <c r="A31" s="61" t="s">
        <v>30</v>
      </c>
      <c r="B31" s="96">
        <v>45011</v>
      </c>
      <c r="C31" s="279" t="s">
        <v>30</v>
      </c>
      <c r="D31" s="279"/>
      <c r="E31" s="279"/>
      <c r="F31" s="279"/>
      <c r="G31" s="279"/>
      <c r="H31" s="279"/>
      <c r="I31" s="279"/>
      <c r="J31" s="42"/>
      <c r="K31" s="101"/>
      <c r="L31" s="40"/>
      <c r="M31" s="49"/>
    </row>
    <row r="32" spans="1:13" ht="15" customHeight="1" x14ac:dyDescent="0.25">
      <c r="A32" t="s">
        <v>64</v>
      </c>
      <c r="B32" s="95">
        <v>45012</v>
      </c>
      <c r="C32" s="194" t="s">
        <v>446</v>
      </c>
      <c r="D32" s="194"/>
      <c r="E32" s="194"/>
      <c r="F32" s="194"/>
      <c r="G32" s="194"/>
      <c r="H32" s="194"/>
      <c r="I32" s="194"/>
      <c r="J32" s="18"/>
      <c r="K32" s="21">
        <v>0.39583333333333331</v>
      </c>
      <c r="L32" s="21">
        <v>1.8125</v>
      </c>
      <c r="M32" s="21">
        <f t="shared" ref="M32:M33" si="7">L32-K32</f>
        <v>1.4166666666666667</v>
      </c>
    </row>
    <row r="33" spans="1:13" x14ac:dyDescent="0.25">
      <c r="A33" t="s">
        <v>65</v>
      </c>
      <c r="B33" s="95">
        <v>45013</v>
      </c>
      <c r="C33" s="194" t="s">
        <v>445</v>
      </c>
      <c r="D33" s="194"/>
      <c r="E33" s="194"/>
      <c r="F33" s="194"/>
      <c r="G33" s="194"/>
      <c r="H33" s="194"/>
      <c r="I33" s="194"/>
      <c r="J33" s="18"/>
      <c r="K33" s="21">
        <v>0.39583333333333331</v>
      </c>
      <c r="L33" s="21">
        <v>1.8125</v>
      </c>
      <c r="M33" s="21">
        <f t="shared" si="7"/>
        <v>1.4166666666666667</v>
      </c>
    </row>
    <row r="34" spans="1:13" x14ac:dyDescent="0.25">
      <c r="A34" t="s">
        <v>96</v>
      </c>
      <c r="B34" s="95">
        <v>45014</v>
      </c>
      <c r="C34" s="194" t="s">
        <v>445</v>
      </c>
      <c r="D34" s="194"/>
      <c r="E34" s="194"/>
      <c r="F34" s="194"/>
      <c r="G34" s="194"/>
      <c r="H34" s="194"/>
      <c r="I34" s="194"/>
      <c r="J34" s="18"/>
      <c r="K34" s="21">
        <v>0.39583333333333331</v>
      </c>
      <c r="L34" s="21">
        <v>1.8125</v>
      </c>
      <c r="M34" s="21">
        <f t="shared" ref="M34" si="8">L34-K34</f>
        <v>1.4166666666666667</v>
      </c>
    </row>
    <row r="35" spans="1:13" x14ac:dyDescent="0.25">
      <c r="A35" t="s">
        <v>67</v>
      </c>
      <c r="B35" s="95">
        <v>45015</v>
      </c>
      <c r="C35" s="194" t="s">
        <v>447</v>
      </c>
      <c r="D35" s="194"/>
      <c r="E35" s="194"/>
      <c r="F35" s="194"/>
      <c r="G35" s="194"/>
      <c r="H35" s="194"/>
      <c r="I35" s="194"/>
      <c r="J35" s="18"/>
      <c r="K35" s="21">
        <v>0.39583333333333331</v>
      </c>
      <c r="L35" s="21">
        <v>1.8125</v>
      </c>
      <c r="M35" s="21">
        <f t="shared" ref="M35:M36" si="9">L35-K35</f>
        <v>1.4166666666666667</v>
      </c>
    </row>
    <row r="36" spans="1:13" x14ac:dyDescent="0.25">
      <c r="A36" t="s">
        <v>68</v>
      </c>
      <c r="B36" s="95">
        <v>45016</v>
      </c>
      <c r="C36" s="194" t="s">
        <v>448</v>
      </c>
      <c r="D36" s="194"/>
      <c r="E36" s="194"/>
      <c r="F36" s="194"/>
      <c r="G36" s="194"/>
      <c r="H36" s="194"/>
      <c r="I36" s="194"/>
      <c r="J36" s="18"/>
      <c r="K36" s="21">
        <v>0.39583333333333331</v>
      </c>
      <c r="L36" s="21">
        <v>1.8125</v>
      </c>
      <c r="M36" s="21">
        <f t="shared" si="9"/>
        <v>1.4166666666666667</v>
      </c>
    </row>
    <row r="1048576" spans="11:12" x14ac:dyDescent="0.25">
      <c r="K1048576" s="21">
        <v>0.41666666666666669</v>
      </c>
      <c r="L1048576" s="21">
        <v>0.75</v>
      </c>
    </row>
  </sheetData>
  <mergeCells count="36">
    <mergeCell ref="C36:I36"/>
    <mergeCell ref="C6:I7"/>
    <mergeCell ref="C30:I30"/>
    <mergeCell ref="C31:I31"/>
    <mergeCell ref="C32:I32"/>
    <mergeCell ref="C33:I33"/>
    <mergeCell ref="C34:I34"/>
    <mergeCell ref="C35:I35"/>
    <mergeCell ref="C24:I24"/>
    <mergeCell ref="C25:I25"/>
    <mergeCell ref="C26:I26"/>
    <mergeCell ref="C27:I27"/>
    <mergeCell ref="C28:I28"/>
    <mergeCell ref="C29:I29"/>
    <mergeCell ref="C18:I18"/>
    <mergeCell ref="C19:I19"/>
    <mergeCell ref="C20:I20"/>
    <mergeCell ref="C21:I21"/>
    <mergeCell ref="C22:I22"/>
    <mergeCell ref="C23:I23"/>
    <mergeCell ref="C17:I17"/>
    <mergeCell ref="C13:I13"/>
    <mergeCell ref="C14:I14"/>
    <mergeCell ref="C15:I15"/>
    <mergeCell ref="C16:I16"/>
    <mergeCell ref="C5:J5"/>
    <mergeCell ref="C8:I8"/>
    <mergeCell ref="C9:I9"/>
    <mergeCell ref="C10:I10"/>
    <mergeCell ref="C11:I11"/>
    <mergeCell ref="C12:I12"/>
    <mergeCell ref="B1:M1"/>
    <mergeCell ref="C2:E2"/>
    <mergeCell ref="G2:M2"/>
    <mergeCell ref="C3:E3"/>
    <mergeCell ref="G3:M3"/>
  </mergeCells>
  <phoneticPr fontId="6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AEDB-88EB-466C-AF5B-4A6696BC859A}">
  <dimension ref="A1:M1048576"/>
  <sheetViews>
    <sheetView topLeftCell="A6" zoomScale="115" workbookViewId="0">
      <selection activeCell="C36" sqref="C36:I36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6" max="6" width="11.7109375" bestFit="1" customWidth="1"/>
    <col min="9" max="9" width="80.7109375" customWidth="1"/>
    <col min="11" max="11" width="11.5703125" style="102" bestFit="1" customWidth="1"/>
    <col min="12" max="12" width="9.140625" style="23"/>
    <col min="13" max="13" width="22.5703125" customWidth="1"/>
  </cols>
  <sheetData>
    <row r="1" spans="1:13" ht="18.75" x14ac:dyDescent="0.3">
      <c r="A1" s="18"/>
      <c r="B1" s="285" t="s">
        <v>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x14ac:dyDescent="0.25">
      <c r="A2" s="18"/>
      <c r="B2" s="79" t="s">
        <v>1</v>
      </c>
      <c r="C2" s="286" t="s">
        <v>34</v>
      </c>
      <c r="D2" s="286"/>
      <c r="E2" s="286"/>
      <c r="F2" s="79" t="s">
        <v>8</v>
      </c>
      <c r="G2" s="286" t="s">
        <v>35</v>
      </c>
      <c r="H2" s="286"/>
      <c r="I2" s="286"/>
      <c r="J2" s="286"/>
      <c r="K2" s="286"/>
      <c r="L2" s="286"/>
      <c r="M2" s="286"/>
    </row>
    <row r="3" spans="1:13" x14ac:dyDescent="0.25">
      <c r="A3" s="18"/>
      <c r="B3" s="79" t="s">
        <v>2</v>
      </c>
      <c r="C3" s="286" t="s">
        <v>36</v>
      </c>
      <c r="D3" s="286"/>
      <c r="E3" s="286"/>
      <c r="F3" s="79" t="s">
        <v>3</v>
      </c>
      <c r="G3" s="286" t="s">
        <v>13</v>
      </c>
      <c r="H3" s="286"/>
      <c r="I3" s="286"/>
      <c r="J3" s="286"/>
      <c r="K3" s="286"/>
      <c r="L3" s="286"/>
      <c r="M3" s="286"/>
    </row>
    <row r="4" spans="1:13" x14ac:dyDescent="0.25">
      <c r="A4" s="18"/>
      <c r="B4" s="80"/>
      <c r="C4" s="80"/>
      <c r="D4" s="80"/>
      <c r="E4" s="80"/>
      <c r="F4" s="80"/>
      <c r="G4" s="80"/>
      <c r="H4" s="80"/>
      <c r="I4" s="80"/>
      <c r="J4" s="80"/>
      <c r="K4" s="98"/>
      <c r="L4" s="82"/>
      <c r="M4" s="82"/>
    </row>
    <row r="5" spans="1:13" x14ac:dyDescent="0.25">
      <c r="A5" s="18"/>
      <c r="B5" s="83" t="s">
        <v>7</v>
      </c>
      <c r="C5" s="287" t="s">
        <v>4</v>
      </c>
      <c r="D5" s="287"/>
      <c r="E5" s="287"/>
      <c r="F5" s="287"/>
      <c r="G5" s="287"/>
      <c r="H5" s="287"/>
      <c r="I5" s="287"/>
      <c r="J5" s="287"/>
      <c r="K5" s="99" t="s">
        <v>5</v>
      </c>
      <c r="L5" s="85" t="s">
        <v>6</v>
      </c>
      <c r="M5" s="83"/>
    </row>
    <row r="6" spans="1:13" x14ac:dyDescent="0.25">
      <c r="A6" t="s">
        <v>96</v>
      </c>
      <c r="B6" s="95">
        <v>44958</v>
      </c>
      <c r="C6" s="282" t="s">
        <v>418</v>
      </c>
      <c r="D6" s="282"/>
      <c r="E6" s="282"/>
      <c r="F6" s="282"/>
      <c r="G6" s="282"/>
      <c r="H6" s="282"/>
      <c r="I6" s="282"/>
      <c r="J6" s="11"/>
      <c r="K6" s="21">
        <v>0.89583333333333337</v>
      </c>
      <c r="L6" s="21">
        <v>1.3125</v>
      </c>
      <c r="M6" s="21">
        <f t="shared" ref="M6:M8" si="0">L6-K6</f>
        <v>0.41666666666666663</v>
      </c>
    </row>
    <row r="7" spans="1:13" x14ac:dyDescent="0.25">
      <c r="A7" t="s">
        <v>67</v>
      </c>
      <c r="B7" s="95">
        <v>44959</v>
      </c>
      <c r="C7" s="282" t="s">
        <v>418</v>
      </c>
      <c r="D7" s="282"/>
      <c r="E7" s="282"/>
      <c r="F7" s="282"/>
      <c r="G7" s="282"/>
      <c r="H7" s="282"/>
      <c r="I7" s="282"/>
      <c r="J7" s="11"/>
      <c r="K7" s="21">
        <v>0.89583333333333337</v>
      </c>
      <c r="L7" s="21">
        <v>1.3125</v>
      </c>
      <c r="M7" s="21">
        <f t="shared" si="0"/>
        <v>0.41666666666666663</v>
      </c>
    </row>
    <row r="8" spans="1:13" ht="15" customHeight="1" x14ac:dyDescent="0.25">
      <c r="A8" t="s">
        <v>68</v>
      </c>
      <c r="B8" s="95">
        <v>44960</v>
      </c>
      <c r="C8" s="282" t="s">
        <v>418</v>
      </c>
      <c r="D8" s="282"/>
      <c r="E8" s="282"/>
      <c r="F8" s="282"/>
      <c r="G8" s="282"/>
      <c r="H8" s="282"/>
      <c r="I8" s="282"/>
      <c r="J8" s="11"/>
      <c r="K8" s="21">
        <v>0.89583333333333337</v>
      </c>
      <c r="L8" s="21">
        <v>1.3125</v>
      </c>
      <c r="M8" s="21">
        <f t="shared" si="0"/>
        <v>0.41666666666666663</v>
      </c>
    </row>
    <row r="9" spans="1:13" ht="15" customHeight="1" x14ac:dyDescent="0.25">
      <c r="A9" s="61" t="s">
        <v>69</v>
      </c>
      <c r="B9" s="96">
        <v>44961</v>
      </c>
      <c r="C9" s="279"/>
      <c r="D9" s="279"/>
      <c r="E9" s="279"/>
      <c r="F9" s="279"/>
      <c r="G9" s="279"/>
      <c r="H9" s="279"/>
      <c r="I9" s="279"/>
      <c r="J9" s="42"/>
      <c r="K9" s="101"/>
      <c r="L9" s="41"/>
      <c r="M9" s="49"/>
    </row>
    <row r="10" spans="1:13" ht="15" customHeight="1" x14ac:dyDescent="0.25">
      <c r="A10" s="61" t="s">
        <v>30</v>
      </c>
      <c r="B10" s="96">
        <v>44962</v>
      </c>
      <c r="C10" s="279"/>
      <c r="D10" s="279"/>
      <c r="E10" s="279"/>
      <c r="F10" s="279"/>
      <c r="G10" s="279"/>
      <c r="H10" s="279"/>
      <c r="I10" s="279"/>
      <c r="J10" s="42"/>
      <c r="K10" s="101"/>
      <c r="L10" s="41"/>
      <c r="M10" s="49"/>
    </row>
    <row r="11" spans="1:13" x14ac:dyDescent="0.25">
      <c r="A11" t="s">
        <v>64</v>
      </c>
      <c r="B11" s="95">
        <v>44963</v>
      </c>
      <c r="C11" s="299" t="s">
        <v>418</v>
      </c>
      <c r="D11" s="300"/>
      <c r="E11" s="300"/>
      <c r="F11" s="300"/>
      <c r="G11" s="300"/>
      <c r="H11" s="300"/>
      <c r="I11" s="301"/>
      <c r="J11" s="18"/>
      <c r="K11" s="21">
        <v>0.89583333333333337</v>
      </c>
      <c r="L11" s="21">
        <v>1.3125</v>
      </c>
      <c r="M11" s="21">
        <f t="shared" ref="M11" si="1">L11-K11</f>
        <v>0.41666666666666663</v>
      </c>
    </row>
    <row r="12" spans="1:13" ht="15" customHeight="1" x14ac:dyDescent="0.25">
      <c r="A12" t="s">
        <v>65</v>
      </c>
      <c r="B12" s="95">
        <v>44964</v>
      </c>
      <c r="C12" s="299" t="s">
        <v>418</v>
      </c>
      <c r="D12" s="300"/>
      <c r="E12" s="300"/>
      <c r="F12" s="300"/>
      <c r="G12" s="300"/>
      <c r="H12" s="300"/>
      <c r="I12" s="301"/>
      <c r="J12" s="77"/>
      <c r="K12" s="21">
        <v>0.89583333333333337</v>
      </c>
      <c r="L12" s="21">
        <v>1.3125</v>
      </c>
      <c r="M12" s="21">
        <f t="shared" ref="M12:M15" si="2">L12-K12</f>
        <v>0.41666666666666663</v>
      </c>
    </row>
    <row r="13" spans="1:13" x14ac:dyDescent="0.25">
      <c r="A13" t="s">
        <v>96</v>
      </c>
      <c r="B13" s="95">
        <v>44965</v>
      </c>
      <c r="C13" s="299" t="s">
        <v>418</v>
      </c>
      <c r="D13" s="300"/>
      <c r="E13" s="300"/>
      <c r="F13" s="300"/>
      <c r="G13" s="300"/>
      <c r="H13" s="300"/>
      <c r="I13" s="301"/>
      <c r="J13" s="77"/>
      <c r="K13" s="21">
        <v>0.89583333333333337</v>
      </c>
      <c r="L13" s="21">
        <v>1.3125</v>
      </c>
      <c r="M13" s="21">
        <f t="shared" si="2"/>
        <v>0.41666666666666663</v>
      </c>
    </row>
    <row r="14" spans="1:13" x14ac:dyDescent="0.25">
      <c r="A14" t="s">
        <v>67</v>
      </c>
      <c r="B14" s="95">
        <v>44966</v>
      </c>
      <c r="C14" s="299" t="s">
        <v>418</v>
      </c>
      <c r="D14" s="300"/>
      <c r="E14" s="300"/>
      <c r="F14" s="300"/>
      <c r="G14" s="300"/>
      <c r="H14" s="300"/>
      <c r="I14" s="301"/>
      <c r="J14" s="77"/>
      <c r="K14" s="21">
        <v>0.89583333333333337</v>
      </c>
      <c r="L14" s="21">
        <v>1.3125</v>
      </c>
      <c r="M14" s="21">
        <f t="shared" si="2"/>
        <v>0.41666666666666663</v>
      </c>
    </row>
    <row r="15" spans="1:13" ht="15" customHeight="1" x14ac:dyDescent="0.25">
      <c r="A15" t="s">
        <v>68</v>
      </c>
      <c r="B15" s="95">
        <v>44967</v>
      </c>
      <c r="C15" s="299" t="s">
        <v>418</v>
      </c>
      <c r="D15" s="300"/>
      <c r="E15" s="300"/>
      <c r="F15" s="300"/>
      <c r="G15" s="300"/>
      <c r="H15" s="300"/>
      <c r="I15" s="301"/>
      <c r="J15" s="77"/>
      <c r="K15" s="21">
        <v>0.89583333333333337</v>
      </c>
      <c r="L15" s="21">
        <v>1.3125</v>
      </c>
      <c r="M15" s="21">
        <f t="shared" si="2"/>
        <v>0.41666666666666663</v>
      </c>
    </row>
    <row r="16" spans="1:13" x14ac:dyDescent="0.25">
      <c r="A16" s="61" t="s">
        <v>69</v>
      </c>
      <c r="B16" s="96">
        <v>44968</v>
      </c>
      <c r="C16" s="284"/>
      <c r="D16" s="284"/>
      <c r="E16" s="284"/>
      <c r="F16" s="284"/>
      <c r="G16" s="284"/>
      <c r="H16" s="284"/>
      <c r="I16" s="284"/>
      <c r="J16" s="42"/>
      <c r="K16" s="101"/>
      <c r="L16" s="41"/>
      <c r="M16" s="49"/>
    </row>
    <row r="17" spans="1:13" ht="15" customHeight="1" x14ac:dyDescent="0.25">
      <c r="A17" s="61" t="s">
        <v>30</v>
      </c>
      <c r="B17" s="96">
        <v>44969</v>
      </c>
      <c r="C17" s="284"/>
      <c r="D17" s="284"/>
      <c r="E17" s="284"/>
      <c r="F17" s="284"/>
      <c r="G17" s="284"/>
      <c r="H17" s="284"/>
      <c r="I17" s="284"/>
      <c r="J17" s="42"/>
      <c r="K17" s="101"/>
      <c r="L17" s="41"/>
      <c r="M17" s="49"/>
    </row>
    <row r="18" spans="1:13" ht="15" customHeight="1" x14ac:dyDescent="0.25">
      <c r="A18" t="s">
        <v>64</v>
      </c>
      <c r="B18" s="95">
        <v>44970</v>
      </c>
      <c r="C18" s="259" t="s">
        <v>419</v>
      </c>
      <c r="D18" s="259"/>
      <c r="E18" s="259"/>
      <c r="F18" s="259"/>
      <c r="G18" s="259"/>
      <c r="H18" s="259"/>
      <c r="I18" s="259"/>
      <c r="J18" s="18"/>
      <c r="K18" s="21">
        <v>0.39583333333333331</v>
      </c>
      <c r="L18" s="21">
        <v>0.77083333333333337</v>
      </c>
      <c r="M18" s="21">
        <f t="shared" ref="M18" si="3">L18-K18</f>
        <v>0.37500000000000006</v>
      </c>
    </row>
    <row r="19" spans="1:13" x14ac:dyDescent="0.25">
      <c r="A19" t="s">
        <v>65</v>
      </c>
      <c r="B19" s="95">
        <v>44971</v>
      </c>
      <c r="C19" s="259" t="s">
        <v>420</v>
      </c>
      <c r="D19" s="259"/>
      <c r="E19" s="259"/>
      <c r="F19" s="259"/>
      <c r="G19" s="259"/>
      <c r="H19" s="259"/>
      <c r="I19" s="259"/>
      <c r="J19" s="77"/>
      <c r="K19" s="21">
        <v>0.39583333333333331</v>
      </c>
      <c r="L19" s="21">
        <v>0.77083333333333337</v>
      </c>
      <c r="M19" s="21">
        <f t="shared" ref="M19:M22" si="4">L19-K19</f>
        <v>0.37500000000000006</v>
      </c>
    </row>
    <row r="20" spans="1:13" ht="15" customHeight="1" x14ac:dyDescent="0.25">
      <c r="A20" t="s">
        <v>96</v>
      </c>
      <c r="B20" s="95">
        <v>44972</v>
      </c>
      <c r="C20" s="259" t="s">
        <v>421</v>
      </c>
      <c r="D20" s="259"/>
      <c r="E20" s="259"/>
      <c r="F20" s="259"/>
      <c r="G20" s="259"/>
      <c r="H20" s="259"/>
      <c r="I20" s="259"/>
      <c r="J20" s="77"/>
      <c r="K20" s="21">
        <v>0.39583333333333331</v>
      </c>
      <c r="L20" s="21">
        <v>0.77083333333333337</v>
      </c>
      <c r="M20" s="21">
        <f t="shared" si="4"/>
        <v>0.37500000000000006</v>
      </c>
    </row>
    <row r="21" spans="1:13" ht="15" customHeight="1" x14ac:dyDescent="0.25">
      <c r="A21" t="s">
        <v>67</v>
      </c>
      <c r="B21" s="95">
        <v>44973</v>
      </c>
      <c r="C21" s="259" t="s">
        <v>422</v>
      </c>
      <c r="D21" s="259"/>
      <c r="E21" s="259"/>
      <c r="F21" s="259"/>
      <c r="G21" s="259"/>
      <c r="H21" s="259"/>
      <c r="I21" s="259"/>
      <c r="J21" s="18"/>
      <c r="K21" s="21">
        <v>0.39583333333333331</v>
      </c>
      <c r="L21" s="21">
        <v>0.77083333333333337</v>
      </c>
      <c r="M21" s="21">
        <f t="shared" si="4"/>
        <v>0.37500000000000006</v>
      </c>
    </row>
    <row r="22" spans="1:13" x14ac:dyDescent="0.25">
      <c r="A22" t="s">
        <v>68</v>
      </c>
      <c r="B22" s="95">
        <v>44974</v>
      </c>
      <c r="C22" s="259" t="s">
        <v>423</v>
      </c>
      <c r="D22" s="259"/>
      <c r="E22" s="259"/>
      <c r="F22" s="259"/>
      <c r="G22" s="259"/>
      <c r="H22" s="259"/>
      <c r="I22" s="259"/>
      <c r="J22" s="18"/>
      <c r="K22" s="21">
        <v>0.39583333333333331</v>
      </c>
      <c r="L22" s="21">
        <v>0.77083333333333337</v>
      </c>
      <c r="M22" s="21">
        <f t="shared" si="4"/>
        <v>0.37500000000000006</v>
      </c>
    </row>
    <row r="23" spans="1:13" x14ac:dyDescent="0.25">
      <c r="A23" s="61" t="s">
        <v>69</v>
      </c>
      <c r="B23" s="96">
        <v>44975</v>
      </c>
      <c r="C23" s="284"/>
      <c r="D23" s="284"/>
      <c r="E23" s="284"/>
      <c r="F23" s="284"/>
      <c r="G23" s="284"/>
      <c r="H23" s="284"/>
      <c r="I23" s="284"/>
      <c r="J23" s="42"/>
      <c r="K23" s="101"/>
      <c r="L23" s="41"/>
      <c r="M23" s="49"/>
    </row>
    <row r="24" spans="1:13" x14ac:dyDescent="0.25">
      <c r="A24" s="61" t="s">
        <v>30</v>
      </c>
      <c r="B24" s="96">
        <v>44976</v>
      </c>
      <c r="C24" s="284"/>
      <c r="D24" s="284"/>
      <c r="E24" s="284"/>
      <c r="F24" s="284"/>
      <c r="G24" s="284"/>
      <c r="H24" s="284"/>
      <c r="I24" s="284"/>
      <c r="J24" s="42"/>
      <c r="K24" s="101"/>
      <c r="L24" s="41"/>
      <c r="M24" s="49"/>
    </row>
    <row r="25" spans="1:13" x14ac:dyDescent="0.25">
      <c r="A25" t="s">
        <v>64</v>
      </c>
      <c r="B25" s="95">
        <v>44977</v>
      </c>
      <c r="C25" s="305" t="s">
        <v>424</v>
      </c>
      <c r="D25" s="305"/>
      <c r="E25" s="305"/>
      <c r="F25" s="305"/>
      <c r="G25" s="305"/>
      <c r="H25" s="305"/>
      <c r="I25" s="305"/>
      <c r="J25" s="18"/>
      <c r="K25" s="21">
        <v>0.39583333333333331</v>
      </c>
      <c r="L25" s="21">
        <v>0.77083333333333337</v>
      </c>
      <c r="M25" s="21">
        <f t="shared" ref="M25:M29" si="5">L25-K25</f>
        <v>0.37500000000000006</v>
      </c>
    </row>
    <row r="26" spans="1:13" x14ac:dyDescent="0.25">
      <c r="A26" t="s">
        <v>65</v>
      </c>
      <c r="B26" s="95">
        <v>44978</v>
      </c>
      <c r="C26" s="259" t="s">
        <v>427</v>
      </c>
      <c r="D26" s="259"/>
      <c r="E26" s="259"/>
      <c r="F26" s="259"/>
      <c r="G26" s="259"/>
      <c r="H26" s="259"/>
      <c r="I26" s="259"/>
      <c r="J26" s="37"/>
      <c r="K26" s="21">
        <v>0.41666666666666669</v>
      </c>
      <c r="L26" s="21">
        <v>0.75</v>
      </c>
      <c r="M26" s="21">
        <f t="shared" si="5"/>
        <v>0.33333333333333331</v>
      </c>
    </row>
    <row r="27" spans="1:13" x14ac:dyDescent="0.25">
      <c r="A27" t="s">
        <v>96</v>
      </c>
      <c r="B27" s="95">
        <v>44979</v>
      </c>
      <c r="C27" s="259" t="s">
        <v>425</v>
      </c>
      <c r="D27" s="259"/>
      <c r="E27" s="259"/>
      <c r="F27" s="259"/>
      <c r="G27" s="259"/>
      <c r="H27" s="259"/>
      <c r="I27" s="259"/>
      <c r="J27" s="37"/>
      <c r="K27" s="21">
        <v>0.41666666666666669</v>
      </c>
      <c r="L27" s="21">
        <v>0.75</v>
      </c>
      <c r="M27" s="21">
        <f t="shared" si="5"/>
        <v>0.33333333333333331</v>
      </c>
    </row>
    <row r="28" spans="1:13" x14ac:dyDescent="0.25">
      <c r="A28" t="s">
        <v>67</v>
      </c>
      <c r="B28" s="95">
        <v>44980</v>
      </c>
      <c r="C28" s="194" t="s">
        <v>428</v>
      </c>
      <c r="D28" s="194"/>
      <c r="E28" s="194"/>
      <c r="F28" s="194"/>
      <c r="G28" s="194"/>
      <c r="H28" s="194"/>
      <c r="I28" s="194"/>
      <c r="J28" s="37"/>
      <c r="K28" s="21">
        <v>0.41666666666666669</v>
      </c>
      <c r="L28" s="21">
        <v>0.75</v>
      </c>
      <c r="M28" s="21">
        <f t="shared" si="5"/>
        <v>0.33333333333333331</v>
      </c>
    </row>
    <row r="29" spans="1:13" x14ac:dyDescent="0.25">
      <c r="A29" t="s">
        <v>68</v>
      </c>
      <c r="B29" s="95">
        <v>44981</v>
      </c>
      <c r="C29" s="312" t="s">
        <v>426</v>
      </c>
      <c r="D29" s="313"/>
      <c r="E29" s="313"/>
      <c r="F29" s="313"/>
      <c r="G29" s="313"/>
      <c r="H29" s="313"/>
      <c r="I29" s="314"/>
      <c r="J29" s="37"/>
      <c r="K29" s="21">
        <v>0.41666666666666669</v>
      </c>
      <c r="L29" s="21">
        <v>0.75</v>
      </c>
      <c r="M29" s="21">
        <f t="shared" si="5"/>
        <v>0.33333333333333331</v>
      </c>
    </row>
    <row r="30" spans="1:13" ht="15" customHeight="1" x14ac:dyDescent="0.25">
      <c r="A30" s="61" t="s">
        <v>69</v>
      </c>
      <c r="B30" s="96">
        <v>44982</v>
      </c>
      <c r="C30" s="306"/>
      <c r="D30" s="307"/>
      <c r="E30" s="307"/>
      <c r="F30" s="307"/>
      <c r="G30" s="307"/>
      <c r="H30" s="307"/>
      <c r="I30" s="308"/>
      <c r="J30" s="42"/>
      <c r="K30" s="101"/>
      <c r="L30" s="41"/>
      <c r="M30" s="49"/>
    </row>
    <row r="31" spans="1:13" ht="15" customHeight="1" x14ac:dyDescent="0.25">
      <c r="A31" s="61" t="s">
        <v>30</v>
      </c>
      <c r="B31" s="96">
        <v>44983</v>
      </c>
      <c r="C31" s="279"/>
      <c r="D31" s="279"/>
      <c r="E31" s="279"/>
      <c r="F31" s="279"/>
      <c r="G31" s="279"/>
      <c r="H31" s="279"/>
      <c r="I31" s="279"/>
      <c r="J31" s="42"/>
      <c r="K31" s="101"/>
      <c r="L31" s="40"/>
      <c r="M31" s="49"/>
    </row>
    <row r="32" spans="1:13" ht="15" customHeight="1" x14ac:dyDescent="0.25">
      <c r="A32" t="s">
        <v>64</v>
      </c>
      <c r="B32" s="95">
        <v>44984</v>
      </c>
      <c r="C32" s="194" t="s">
        <v>429</v>
      </c>
      <c r="D32" s="194"/>
      <c r="E32" s="194"/>
      <c r="F32" s="194"/>
      <c r="G32" s="194"/>
      <c r="H32" s="194"/>
      <c r="I32" s="194"/>
      <c r="J32" s="18"/>
      <c r="K32" s="21">
        <v>0.41666666666666669</v>
      </c>
      <c r="L32" s="21">
        <v>0.79166666666666663</v>
      </c>
      <c r="M32" s="21">
        <f t="shared" ref="M32:M33" si="6">L32-K32</f>
        <v>0.37499999999999994</v>
      </c>
    </row>
    <row r="33" spans="1:13" x14ac:dyDescent="0.25">
      <c r="A33" t="s">
        <v>65</v>
      </c>
      <c r="B33" s="95">
        <v>44985</v>
      </c>
      <c r="C33" s="194" t="s">
        <v>430</v>
      </c>
      <c r="D33" s="194"/>
      <c r="E33" s="194"/>
      <c r="F33" s="194"/>
      <c r="G33" s="194"/>
      <c r="H33" s="194"/>
      <c r="I33" s="194"/>
      <c r="J33" s="18"/>
      <c r="K33" s="21">
        <v>0.41666666666666669</v>
      </c>
      <c r="L33" s="21">
        <v>0.79166666666666663</v>
      </c>
      <c r="M33" s="21">
        <f t="shared" si="6"/>
        <v>0.37499999999999994</v>
      </c>
    </row>
    <row r="34" spans="1:13" x14ac:dyDescent="0.25">
      <c r="B34" s="95"/>
      <c r="C34" s="194"/>
      <c r="D34" s="194"/>
      <c r="E34" s="194"/>
      <c r="F34" s="194"/>
      <c r="G34" s="194"/>
      <c r="H34" s="194"/>
      <c r="I34" s="194"/>
      <c r="J34" s="18"/>
      <c r="K34" s="100"/>
      <c r="L34" s="21"/>
      <c r="M34" s="14"/>
    </row>
    <row r="35" spans="1:13" x14ac:dyDescent="0.25">
      <c r="B35" s="95"/>
      <c r="C35" s="194"/>
      <c r="D35" s="194"/>
      <c r="E35" s="194"/>
      <c r="F35" s="194"/>
      <c r="G35" s="194"/>
      <c r="H35" s="194"/>
      <c r="I35" s="194"/>
      <c r="J35" s="18"/>
      <c r="K35" s="322"/>
      <c r="L35" s="323"/>
      <c r="M35" s="324"/>
    </row>
    <row r="36" spans="1:13" x14ac:dyDescent="0.25">
      <c r="B36" s="95"/>
      <c r="C36" s="194"/>
      <c r="D36" s="194"/>
      <c r="E36" s="194"/>
      <c r="F36" s="194"/>
      <c r="G36" s="194"/>
      <c r="H36" s="194"/>
      <c r="I36" s="194"/>
      <c r="J36" s="18"/>
      <c r="K36" s="100"/>
      <c r="L36" s="21"/>
      <c r="M36" s="14"/>
    </row>
    <row r="1048576" spans="11:12" x14ac:dyDescent="0.25">
      <c r="K1048576" s="21">
        <v>0.41666666666666669</v>
      </c>
      <c r="L1048576" s="21">
        <v>0.75</v>
      </c>
    </row>
  </sheetData>
  <mergeCells count="38">
    <mergeCell ref="C5:J5"/>
    <mergeCell ref="B1:M1"/>
    <mergeCell ref="C2:E2"/>
    <mergeCell ref="G2:M2"/>
    <mergeCell ref="C3:E3"/>
    <mergeCell ref="G3:M3"/>
    <mergeCell ref="C17:I17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29:I29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K35:M35"/>
    <mergeCell ref="C36:I36"/>
    <mergeCell ref="C30:I30"/>
    <mergeCell ref="C31:I31"/>
    <mergeCell ref="C32:I32"/>
    <mergeCell ref="C33:I33"/>
    <mergeCell ref="C34:I34"/>
    <mergeCell ref="C35:I35"/>
  </mergeCells>
  <phoneticPr fontId="6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0FA7-E736-4F97-AF5C-E4E9B64C295F}">
  <dimension ref="A1:M36"/>
  <sheetViews>
    <sheetView zoomScale="115" workbookViewId="0">
      <selection activeCell="C36" sqref="C36:I36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6" max="6" width="11.7109375" bestFit="1" customWidth="1"/>
    <col min="9" max="9" width="80.7109375" customWidth="1"/>
    <col min="11" max="11" width="11.5703125" style="23" bestFit="1" customWidth="1"/>
    <col min="12" max="12" width="9.140625" style="23"/>
    <col min="13" max="13" width="22.5703125" customWidth="1"/>
  </cols>
  <sheetData>
    <row r="1" spans="1:13" ht="18.75" x14ac:dyDescent="0.3">
      <c r="A1" s="18"/>
      <c r="B1" s="285" t="s">
        <v>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x14ac:dyDescent="0.25">
      <c r="A2" s="18"/>
      <c r="B2" s="79" t="s">
        <v>1</v>
      </c>
      <c r="C2" s="286" t="s">
        <v>34</v>
      </c>
      <c r="D2" s="286"/>
      <c r="E2" s="286"/>
      <c r="F2" s="79" t="s">
        <v>8</v>
      </c>
      <c r="G2" s="286" t="s">
        <v>35</v>
      </c>
      <c r="H2" s="286"/>
      <c r="I2" s="286"/>
      <c r="J2" s="286"/>
      <c r="K2" s="286"/>
      <c r="L2" s="286"/>
      <c r="M2" s="286"/>
    </row>
    <row r="3" spans="1:13" x14ac:dyDescent="0.25">
      <c r="A3" s="18"/>
      <c r="B3" s="79" t="s">
        <v>2</v>
      </c>
      <c r="C3" s="286" t="s">
        <v>36</v>
      </c>
      <c r="D3" s="286"/>
      <c r="E3" s="286"/>
      <c r="F3" s="79" t="s">
        <v>3</v>
      </c>
      <c r="G3" s="286" t="s">
        <v>13</v>
      </c>
      <c r="H3" s="286"/>
      <c r="I3" s="286"/>
      <c r="J3" s="286"/>
      <c r="K3" s="286"/>
      <c r="L3" s="286"/>
      <c r="M3" s="286"/>
    </row>
    <row r="4" spans="1:13" x14ac:dyDescent="0.25">
      <c r="A4" s="18"/>
      <c r="B4" s="80"/>
      <c r="C4" s="80"/>
      <c r="D4" s="80"/>
      <c r="E4" s="80"/>
      <c r="F4" s="80"/>
      <c r="G4" s="80"/>
      <c r="H4" s="80"/>
      <c r="I4" s="80"/>
      <c r="J4" s="80"/>
      <c r="K4" s="81"/>
      <c r="L4" s="82"/>
      <c r="M4" s="82"/>
    </row>
    <row r="5" spans="1:13" x14ac:dyDescent="0.25">
      <c r="A5" s="18"/>
      <c r="B5" s="83" t="s">
        <v>7</v>
      </c>
      <c r="C5" s="287" t="s">
        <v>4</v>
      </c>
      <c r="D5" s="287"/>
      <c r="E5" s="287"/>
      <c r="F5" s="287"/>
      <c r="G5" s="287"/>
      <c r="H5" s="287"/>
      <c r="I5" s="287"/>
      <c r="J5" s="287"/>
      <c r="K5" s="84" t="s">
        <v>5</v>
      </c>
      <c r="L5" s="85" t="s">
        <v>6</v>
      </c>
      <c r="M5" s="83"/>
    </row>
    <row r="6" spans="1:13" x14ac:dyDescent="0.25">
      <c r="A6" s="61" t="s">
        <v>30</v>
      </c>
      <c r="B6" s="96">
        <v>44927</v>
      </c>
      <c r="C6" s="283" t="s">
        <v>30</v>
      </c>
      <c r="D6" s="283"/>
      <c r="E6" s="283"/>
      <c r="F6" s="283"/>
      <c r="G6" s="283"/>
      <c r="H6" s="283"/>
      <c r="I6" s="283"/>
      <c r="J6" s="38"/>
      <c r="K6" s="40"/>
      <c r="L6" s="41"/>
      <c r="M6" s="49"/>
    </row>
    <row r="7" spans="1:13" x14ac:dyDescent="0.25">
      <c r="A7" t="s">
        <v>64</v>
      </c>
      <c r="B7" s="95">
        <v>44928</v>
      </c>
      <c r="C7" s="282" t="s">
        <v>406</v>
      </c>
      <c r="D7" s="282"/>
      <c r="E7" s="282"/>
      <c r="F7" s="282"/>
      <c r="G7" s="282"/>
      <c r="H7" s="282"/>
      <c r="I7" s="282"/>
      <c r="J7" s="11"/>
      <c r="K7" s="35">
        <v>0.40625</v>
      </c>
      <c r="L7" s="21">
        <v>0.8125</v>
      </c>
      <c r="M7" s="14">
        <f>L7-K7</f>
        <v>0.40625</v>
      </c>
    </row>
    <row r="8" spans="1:13" ht="15" customHeight="1" x14ac:dyDescent="0.25">
      <c r="A8" t="s">
        <v>65</v>
      </c>
      <c r="B8" s="95">
        <v>44929</v>
      </c>
      <c r="C8" s="194" t="s">
        <v>401</v>
      </c>
      <c r="D8" s="194"/>
      <c r="E8" s="194"/>
      <c r="F8" s="194"/>
      <c r="G8" s="194"/>
      <c r="H8" s="194"/>
      <c r="I8" s="194"/>
      <c r="J8" s="11"/>
      <c r="K8" s="35">
        <v>0.40625</v>
      </c>
      <c r="L8" s="21">
        <v>0.8125</v>
      </c>
      <c r="M8" s="14">
        <f t="shared" ref="M8:M9" si="0">L8-K8</f>
        <v>0.40625</v>
      </c>
    </row>
    <row r="9" spans="1:13" ht="15" customHeight="1" x14ac:dyDescent="0.25">
      <c r="A9" t="s">
        <v>66</v>
      </c>
      <c r="B9" s="95">
        <v>44930</v>
      </c>
      <c r="C9" s="194" t="s">
        <v>407</v>
      </c>
      <c r="D9" s="194"/>
      <c r="E9" s="194"/>
      <c r="F9" s="194"/>
      <c r="G9" s="194"/>
      <c r="H9" s="194"/>
      <c r="I9" s="194"/>
      <c r="J9" s="18"/>
      <c r="K9" s="35">
        <v>0.40625</v>
      </c>
      <c r="L9" s="21">
        <v>0.8125</v>
      </c>
      <c r="M9" s="14">
        <f t="shared" si="0"/>
        <v>0.40625</v>
      </c>
    </row>
    <row r="10" spans="1:13" ht="15" customHeight="1" x14ac:dyDescent="0.25">
      <c r="A10" t="s">
        <v>67</v>
      </c>
      <c r="B10" s="95">
        <v>44931</v>
      </c>
      <c r="C10" s="194" t="s">
        <v>407</v>
      </c>
      <c r="D10" s="194"/>
      <c r="E10" s="194"/>
      <c r="F10" s="194"/>
      <c r="G10" s="194"/>
      <c r="H10" s="194"/>
      <c r="I10" s="194"/>
      <c r="J10" s="18"/>
      <c r="K10" s="35">
        <v>0.40625</v>
      </c>
      <c r="L10" s="21">
        <v>0.85416666666666663</v>
      </c>
      <c r="M10" s="14">
        <f t="shared" ref="M10:M30" si="1">L10-K10</f>
        <v>0.44791666666666663</v>
      </c>
    </row>
    <row r="11" spans="1:13" x14ac:dyDescent="0.25">
      <c r="A11" t="s">
        <v>68</v>
      </c>
      <c r="B11" s="95">
        <v>44932</v>
      </c>
      <c r="C11" s="194" t="s">
        <v>407</v>
      </c>
      <c r="D11" s="194"/>
      <c r="E11" s="194"/>
      <c r="F11" s="194"/>
      <c r="G11" s="194"/>
      <c r="H11" s="194"/>
      <c r="I11" s="194"/>
      <c r="J11" s="18"/>
      <c r="K11" s="35">
        <v>0.40625</v>
      </c>
      <c r="L11" s="21">
        <v>0.72916666666666663</v>
      </c>
      <c r="M11" s="14">
        <f t="shared" si="1"/>
        <v>0.32291666666666663</v>
      </c>
    </row>
    <row r="12" spans="1:13" ht="15" customHeight="1" x14ac:dyDescent="0.25">
      <c r="A12" s="61" t="s">
        <v>69</v>
      </c>
      <c r="B12" s="96">
        <v>44933</v>
      </c>
      <c r="C12" s="325" t="s">
        <v>69</v>
      </c>
      <c r="D12" s="326"/>
      <c r="E12" s="326"/>
      <c r="F12" s="326"/>
      <c r="G12" s="326"/>
      <c r="H12" s="326"/>
      <c r="I12" s="327"/>
      <c r="J12" s="78"/>
      <c r="K12" s="40"/>
      <c r="L12" s="41"/>
      <c r="M12" s="49"/>
    </row>
    <row r="13" spans="1:13" x14ac:dyDescent="0.25">
      <c r="A13" s="61" t="s">
        <v>30</v>
      </c>
      <c r="B13" s="96">
        <v>44934</v>
      </c>
      <c r="C13" s="284" t="s">
        <v>30</v>
      </c>
      <c r="D13" s="284"/>
      <c r="E13" s="284"/>
      <c r="F13" s="284"/>
      <c r="G13" s="284"/>
      <c r="H13" s="284"/>
      <c r="I13" s="284"/>
      <c r="J13" s="78"/>
      <c r="K13" s="40"/>
      <c r="L13" s="41"/>
      <c r="M13" s="49"/>
    </row>
    <row r="14" spans="1:13" x14ac:dyDescent="0.25">
      <c r="A14" t="s">
        <v>64</v>
      </c>
      <c r="B14" s="95">
        <v>44935</v>
      </c>
      <c r="C14" s="259" t="s">
        <v>408</v>
      </c>
      <c r="D14" s="259"/>
      <c r="E14" s="259"/>
      <c r="F14" s="259"/>
      <c r="G14" s="259"/>
      <c r="H14" s="259"/>
      <c r="I14" s="259"/>
      <c r="J14" s="77"/>
      <c r="K14" s="35">
        <v>0.41666666666666669</v>
      </c>
      <c r="L14" s="21">
        <v>0.8125</v>
      </c>
      <c r="M14" s="14">
        <f t="shared" si="1"/>
        <v>0.39583333333333331</v>
      </c>
    </row>
    <row r="15" spans="1:13" ht="15" customHeight="1" x14ac:dyDescent="0.25">
      <c r="A15" t="s">
        <v>65</v>
      </c>
      <c r="B15" s="95">
        <v>44936</v>
      </c>
      <c r="C15" s="259" t="s">
        <v>410</v>
      </c>
      <c r="D15" s="259"/>
      <c r="E15" s="259"/>
      <c r="F15" s="259"/>
      <c r="G15" s="259"/>
      <c r="H15" s="259"/>
      <c r="I15" s="259"/>
      <c r="J15" s="77"/>
      <c r="K15" s="35">
        <v>0.41666666666666669</v>
      </c>
      <c r="L15" s="21">
        <v>0.8125</v>
      </c>
      <c r="M15" s="14">
        <f t="shared" si="1"/>
        <v>0.39583333333333331</v>
      </c>
    </row>
    <row r="16" spans="1:13" x14ac:dyDescent="0.25">
      <c r="A16" t="s">
        <v>66</v>
      </c>
      <c r="B16" s="95">
        <v>44937</v>
      </c>
      <c r="C16" s="259" t="s">
        <v>409</v>
      </c>
      <c r="D16" s="259"/>
      <c r="E16" s="259"/>
      <c r="F16" s="259"/>
      <c r="G16" s="259"/>
      <c r="H16" s="259"/>
      <c r="I16" s="259"/>
      <c r="J16" s="18"/>
      <c r="K16" s="35">
        <v>0.41666666666666669</v>
      </c>
      <c r="L16" s="21">
        <v>0.8125</v>
      </c>
      <c r="M16" s="14">
        <f t="shared" si="1"/>
        <v>0.39583333333333331</v>
      </c>
    </row>
    <row r="17" spans="1:13" ht="15" customHeight="1" x14ac:dyDescent="0.25">
      <c r="A17" t="s">
        <v>67</v>
      </c>
      <c r="B17" s="95">
        <v>44938</v>
      </c>
      <c r="C17" s="259" t="s">
        <v>408</v>
      </c>
      <c r="D17" s="259"/>
      <c r="E17" s="259"/>
      <c r="F17" s="259"/>
      <c r="G17" s="259"/>
      <c r="H17" s="259"/>
      <c r="I17" s="259"/>
      <c r="J17" s="18"/>
      <c r="K17" s="35">
        <v>0.40625</v>
      </c>
      <c r="L17" s="21">
        <v>0.8125</v>
      </c>
      <c r="M17" s="14">
        <f>L17-K17</f>
        <v>0.40625</v>
      </c>
    </row>
    <row r="18" spans="1:13" ht="15" customHeight="1" x14ac:dyDescent="0.25">
      <c r="A18" t="s">
        <v>68</v>
      </c>
      <c r="B18" s="95">
        <v>44939</v>
      </c>
      <c r="C18" s="259" t="s">
        <v>408</v>
      </c>
      <c r="D18" s="259"/>
      <c r="E18" s="259"/>
      <c r="F18" s="259"/>
      <c r="G18" s="259"/>
      <c r="H18" s="259"/>
      <c r="I18" s="259"/>
      <c r="J18" s="18"/>
      <c r="K18" s="35">
        <v>0.36458333333333331</v>
      </c>
      <c r="L18" s="21">
        <v>0.4375</v>
      </c>
      <c r="M18" s="14">
        <f t="shared" si="1"/>
        <v>7.2916666666666685E-2</v>
      </c>
    </row>
    <row r="19" spans="1:13" x14ac:dyDescent="0.25">
      <c r="A19" s="61" t="s">
        <v>69</v>
      </c>
      <c r="B19" s="96">
        <v>44940</v>
      </c>
      <c r="C19" s="284" t="s">
        <v>69</v>
      </c>
      <c r="D19" s="284"/>
      <c r="E19" s="284"/>
      <c r="F19" s="284"/>
      <c r="G19" s="284"/>
      <c r="H19" s="284"/>
      <c r="I19" s="284"/>
      <c r="J19" s="78"/>
      <c r="K19" s="40"/>
      <c r="L19" s="41"/>
      <c r="M19" s="49"/>
    </row>
    <row r="20" spans="1:13" ht="15" customHeight="1" x14ac:dyDescent="0.25">
      <c r="A20" s="61" t="s">
        <v>30</v>
      </c>
      <c r="B20" s="96">
        <v>44941</v>
      </c>
      <c r="C20" s="284" t="s">
        <v>30</v>
      </c>
      <c r="D20" s="284"/>
      <c r="E20" s="284"/>
      <c r="F20" s="284"/>
      <c r="G20" s="284"/>
      <c r="H20" s="284"/>
      <c r="I20" s="284"/>
      <c r="J20" s="78"/>
      <c r="K20" s="40"/>
      <c r="L20" s="41"/>
      <c r="M20" s="49"/>
    </row>
    <row r="21" spans="1:13" ht="15" customHeight="1" x14ac:dyDescent="0.25">
      <c r="A21" t="s">
        <v>64</v>
      </c>
      <c r="B21" s="96">
        <v>44942</v>
      </c>
      <c r="C21" s="284" t="s">
        <v>402</v>
      </c>
      <c r="D21" s="284"/>
      <c r="E21" s="284"/>
      <c r="F21" s="284"/>
      <c r="G21" s="284"/>
      <c r="H21" s="284"/>
      <c r="I21" s="284"/>
      <c r="J21" s="42"/>
      <c r="K21" s="40"/>
      <c r="L21" s="41"/>
      <c r="M21" s="49"/>
    </row>
    <row r="22" spans="1:13" x14ac:dyDescent="0.25">
      <c r="A22" t="s">
        <v>65</v>
      </c>
      <c r="B22" s="95">
        <v>44943</v>
      </c>
      <c r="C22" s="259" t="s">
        <v>405</v>
      </c>
      <c r="D22" s="259"/>
      <c r="E22" s="259"/>
      <c r="F22" s="259"/>
      <c r="G22" s="259"/>
      <c r="H22" s="259"/>
      <c r="I22" s="259"/>
      <c r="J22" s="18"/>
      <c r="K22" s="35"/>
      <c r="L22" s="21"/>
      <c r="M22" s="14" t="s">
        <v>171</v>
      </c>
    </row>
    <row r="23" spans="1:13" x14ac:dyDescent="0.25">
      <c r="A23" t="s">
        <v>66</v>
      </c>
      <c r="B23" s="95">
        <v>44944</v>
      </c>
      <c r="C23" s="259" t="s">
        <v>403</v>
      </c>
      <c r="D23" s="259"/>
      <c r="E23" s="259"/>
      <c r="F23" s="259"/>
      <c r="G23" s="259"/>
      <c r="H23" s="259"/>
      <c r="I23" s="259"/>
      <c r="J23" s="18"/>
      <c r="K23" s="35"/>
      <c r="L23" s="21"/>
      <c r="M23" s="14" t="s">
        <v>171</v>
      </c>
    </row>
    <row r="24" spans="1:13" x14ac:dyDescent="0.25">
      <c r="A24" t="s">
        <v>67</v>
      </c>
      <c r="B24" s="95">
        <v>44945</v>
      </c>
      <c r="C24" s="259" t="s">
        <v>404</v>
      </c>
      <c r="D24" s="259"/>
      <c r="E24" s="259"/>
      <c r="F24" s="259"/>
      <c r="G24" s="259"/>
      <c r="H24" s="259"/>
      <c r="I24" s="259"/>
      <c r="J24" s="18"/>
      <c r="K24" s="35"/>
      <c r="L24" s="21"/>
      <c r="M24" s="14" t="s">
        <v>171</v>
      </c>
    </row>
    <row r="25" spans="1:13" x14ac:dyDescent="0.25">
      <c r="A25" t="s">
        <v>68</v>
      </c>
      <c r="B25" s="95">
        <v>44946</v>
      </c>
      <c r="C25" s="305" t="s">
        <v>411</v>
      </c>
      <c r="D25" s="305"/>
      <c r="E25" s="305"/>
      <c r="F25" s="305"/>
      <c r="G25" s="305"/>
      <c r="H25" s="305"/>
      <c r="I25" s="305"/>
      <c r="J25" s="18"/>
      <c r="K25" s="35"/>
      <c r="L25" s="21"/>
      <c r="M25" s="14" t="s">
        <v>171</v>
      </c>
    </row>
    <row r="26" spans="1:13" x14ac:dyDescent="0.25">
      <c r="A26" s="61" t="s">
        <v>69</v>
      </c>
      <c r="B26" s="96">
        <v>44947</v>
      </c>
      <c r="C26" s="284" t="s">
        <v>69</v>
      </c>
      <c r="D26" s="284"/>
      <c r="E26" s="284"/>
      <c r="F26" s="284"/>
      <c r="G26" s="284"/>
      <c r="H26" s="284"/>
      <c r="I26" s="284"/>
      <c r="J26" s="44"/>
      <c r="K26" s="40"/>
      <c r="L26" s="41"/>
      <c r="M26" s="49"/>
    </row>
    <row r="27" spans="1:13" x14ac:dyDescent="0.25">
      <c r="A27" s="61" t="s">
        <v>30</v>
      </c>
      <c r="B27" s="96">
        <v>44948</v>
      </c>
      <c r="C27" s="284" t="s">
        <v>30</v>
      </c>
      <c r="D27" s="284"/>
      <c r="E27" s="284"/>
      <c r="F27" s="284"/>
      <c r="G27" s="284"/>
      <c r="H27" s="284"/>
      <c r="I27" s="284"/>
      <c r="J27" s="44"/>
      <c r="K27" s="40"/>
      <c r="L27" s="41"/>
      <c r="M27" s="49"/>
    </row>
    <row r="28" spans="1:13" x14ac:dyDescent="0.25">
      <c r="A28" t="s">
        <v>64</v>
      </c>
      <c r="B28" s="95">
        <v>44949</v>
      </c>
      <c r="C28" s="194" t="s">
        <v>412</v>
      </c>
      <c r="D28" s="194"/>
      <c r="E28" s="194"/>
      <c r="F28" s="194"/>
      <c r="G28" s="194"/>
      <c r="H28" s="194"/>
      <c r="I28" s="194"/>
      <c r="J28" s="37"/>
      <c r="K28" s="35">
        <v>0.53125</v>
      </c>
      <c r="L28" s="21">
        <v>0.9375</v>
      </c>
      <c r="M28" s="14">
        <f t="shared" si="1"/>
        <v>0.40625</v>
      </c>
    </row>
    <row r="29" spans="1:13" x14ac:dyDescent="0.25">
      <c r="A29" t="s">
        <v>65</v>
      </c>
      <c r="B29" s="95">
        <v>44950</v>
      </c>
      <c r="C29" s="312" t="s">
        <v>413</v>
      </c>
      <c r="D29" s="313"/>
      <c r="E29" s="313"/>
      <c r="F29" s="313"/>
      <c r="G29" s="313"/>
      <c r="H29" s="313"/>
      <c r="I29" s="314"/>
      <c r="J29" s="37"/>
      <c r="K29" s="35">
        <v>0.57291666666666696</v>
      </c>
      <c r="L29" s="21">
        <v>0.97916666666666696</v>
      </c>
      <c r="M29" s="14">
        <f t="shared" si="1"/>
        <v>0.40625</v>
      </c>
    </row>
    <row r="30" spans="1:13" ht="15" customHeight="1" x14ac:dyDescent="0.25">
      <c r="A30" t="s">
        <v>66</v>
      </c>
      <c r="B30" s="95">
        <v>44951</v>
      </c>
      <c r="C30" s="312" t="s">
        <v>414</v>
      </c>
      <c r="D30" s="313"/>
      <c r="E30" s="313"/>
      <c r="F30" s="313"/>
      <c r="G30" s="313"/>
      <c r="H30" s="313"/>
      <c r="I30" s="314"/>
      <c r="J30" s="18"/>
      <c r="K30" s="35">
        <v>0.57291666666666696</v>
      </c>
      <c r="L30" s="21">
        <v>0.97916666666666696</v>
      </c>
      <c r="M30" s="14">
        <f t="shared" si="1"/>
        <v>0.40625</v>
      </c>
    </row>
    <row r="31" spans="1:13" ht="15" customHeight="1" x14ac:dyDescent="0.25">
      <c r="A31" s="61" t="s">
        <v>67</v>
      </c>
      <c r="B31" s="96">
        <v>44952</v>
      </c>
      <c r="C31" s="279" t="s">
        <v>415</v>
      </c>
      <c r="D31" s="279"/>
      <c r="E31" s="279"/>
      <c r="F31" s="279"/>
      <c r="G31" s="279"/>
      <c r="H31" s="279"/>
      <c r="I31" s="279"/>
      <c r="J31" s="42"/>
      <c r="K31" s="40">
        <v>0.78125</v>
      </c>
      <c r="L31" s="40">
        <v>0.32291666666666669</v>
      </c>
      <c r="M31" s="49">
        <v>0.54166666666666663</v>
      </c>
    </row>
    <row r="32" spans="1:13" ht="15" customHeight="1" x14ac:dyDescent="0.25">
      <c r="A32" t="s">
        <v>68</v>
      </c>
      <c r="B32" s="95">
        <v>44953</v>
      </c>
      <c r="C32" s="194" t="s">
        <v>415</v>
      </c>
      <c r="D32" s="194"/>
      <c r="E32" s="194"/>
      <c r="F32" s="194"/>
      <c r="G32" s="194"/>
      <c r="H32" s="194"/>
      <c r="I32" s="194"/>
      <c r="J32" s="18"/>
      <c r="K32" s="35">
        <v>0.78125</v>
      </c>
      <c r="L32" s="35">
        <v>0.32291666666666669</v>
      </c>
      <c r="M32" s="14">
        <v>0.54166666666666663</v>
      </c>
    </row>
    <row r="33" spans="1:13" x14ac:dyDescent="0.25">
      <c r="A33" s="61" t="s">
        <v>69</v>
      </c>
      <c r="B33" s="96">
        <v>44954</v>
      </c>
      <c r="C33" s="279" t="s">
        <v>69</v>
      </c>
      <c r="D33" s="279"/>
      <c r="E33" s="279"/>
      <c r="F33" s="279"/>
      <c r="G33" s="279"/>
      <c r="H33" s="279"/>
      <c r="I33" s="279"/>
      <c r="J33" s="42"/>
      <c r="K33" s="40"/>
      <c r="L33" s="41"/>
      <c r="M33" s="49"/>
    </row>
    <row r="34" spans="1:13" x14ac:dyDescent="0.25">
      <c r="A34" s="61" t="s">
        <v>30</v>
      </c>
      <c r="B34" s="96">
        <v>44955</v>
      </c>
      <c r="C34" s="279" t="s">
        <v>30</v>
      </c>
      <c r="D34" s="279"/>
      <c r="E34" s="279"/>
      <c r="F34" s="279"/>
      <c r="G34" s="279"/>
      <c r="H34" s="279"/>
      <c r="I34" s="279"/>
      <c r="J34" s="42"/>
      <c r="K34" s="40"/>
      <c r="L34" s="41"/>
      <c r="M34" s="49"/>
    </row>
    <row r="35" spans="1:13" x14ac:dyDescent="0.25">
      <c r="A35" t="s">
        <v>64</v>
      </c>
      <c r="B35" s="95">
        <v>44956</v>
      </c>
      <c r="C35" s="194" t="s">
        <v>416</v>
      </c>
      <c r="D35" s="194"/>
      <c r="E35" s="194"/>
      <c r="F35" s="194"/>
      <c r="G35" s="194"/>
      <c r="H35" s="194"/>
      <c r="I35" s="194"/>
      <c r="J35" s="18"/>
      <c r="K35" s="322" t="s">
        <v>269</v>
      </c>
      <c r="L35" s="323"/>
      <c r="M35" s="324"/>
    </row>
    <row r="36" spans="1:13" x14ac:dyDescent="0.25">
      <c r="A36" t="s">
        <v>65</v>
      </c>
      <c r="B36" s="95">
        <v>44957</v>
      </c>
      <c r="C36" s="194" t="s">
        <v>417</v>
      </c>
      <c r="D36" s="194"/>
      <c r="E36" s="194"/>
      <c r="F36" s="194"/>
      <c r="G36" s="194"/>
      <c r="H36" s="194"/>
      <c r="I36" s="194"/>
      <c r="J36" s="18"/>
      <c r="K36" s="35">
        <v>0.19444444444444445</v>
      </c>
      <c r="L36" s="21">
        <v>0.8125</v>
      </c>
      <c r="M36" s="14">
        <f>L36-K36</f>
        <v>0.61805555555555558</v>
      </c>
    </row>
  </sheetData>
  <mergeCells count="38">
    <mergeCell ref="C5:J5"/>
    <mergeCell ref="B1:M1"/>
    <mergeCell ref="C2:E2"/>
    <mergeCell ref="G2:M2"/>
    <mergeCell ref="C3:E3"/>
    <mergeCell ref="G3:M3"/>
    <mergeCell ref="C17:I17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29:I29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K35:M35"/>
    <mergeCell ref="C36:I36"/>
    <mergeCell ref="C30:I30"/>
    <mergeCell ref="C31:I31"/>
    <mergeCell ref="C32:I32"/>
    <mergeCell ref="C33:I33"/>
    <mergeCell ref="C34:I34"/>
    <mergeCell ref="C35:I35"/>
  </mergeCells>
  <phoneticPr fontId="6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54BB-C2AB-4640-B589-04E2B6D5A618}">
  <dimension ref="A1:M36"/>
  <sheetViews>
    <sheetView topLeftCell="C5" zoomScale="115" workbookViewId="0">
      <selection activeCell="C36" sqref="C36:I36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6" max="6" width="11.7109375" bestFit="1" customWidth="1"/>
    <col min="9" max="9" width="80.7109375" customWidth="1"/>
    <col min="11" max="11" width="11.5703125" style="23" bestFit="1" customWidth="1"/>
    <col min="12" max="12" width="9.140625" style="23"/>
    <col min="13" max="13" width="22.5703125" customWidth="1"/>
  </cols>
  <sheetData>
    <row r="1" spans="1:13" ht="18.75" x14ac:dyDescent="0.3">
      <c r="A1" s="18"/>
      <c r="B1" s="285" t="s">
        <v>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x14ac:dyDescent="0.25">
      <c r="A2" s="18"/>
      <c r="B2" s="79" t="s">
        <v>1</v>
      </c>
      <c r="C2" s="286" t="s">
        <v>34</v>
      </c>
      <c r="D2" s="286"/>
      <c r="E2" s="286"/>
      <c r="F2" s="79" t="s">
        <v>8</v>
      </c>
      <c r="G2" s="286" t="s">
        <v>35</v>
      </c>
      <c r="H2" s="286"/>
      <c r="I2" s="286"/>
      <c r="J2" s="286"/>
      <c r="K2" s="286"/>
      <c r="L2" s="286"/>
      <c r="M2" s="286"/>
    </row>
    <row r="3" spans="1:13" x14ac:dyDescent="0.25">
      <c r="A3" s="18"/>
      <c r="B3" s="79" t="s">
        <v>2</v>
      </c>
      <c r="C3" s="286" t="s">
        <v>36</v>
      </c>
      <c r="D3" s="286"/>
      <c r="E3" s="286"/>
      <c r="F3" s="79" t="s">
        <v>3</v>
      </c>
      <c r="G3" s="286" t="s">
        <v>13</v>
      </c>
      <c r="H3" s="286"/>
      <c r="I3" s="286"/>
      <c r="J3" s="286"/>
      <c r="K3" s="286"/>
      <c r="L3" s="286"/>
      <c r="M3" s="286"/>
    </row>
    <row r="4" spans="1:13" x14ac:dyDescent="0.25">
      <c r="A4" s="18"/>
      <c r="B4" s="80"/>
      <c r="C4" s="80"/>
      <c r="D4" s="80"/>
      <c r="E4" s="80"/>
      <c r="F4" s="80"/>
      <c r="G4" s="80"/>
      <c r="H4" s="80"/>
      <c r="I4" s="80"/>
      <c r="J4" s="80"/>
      <c r="K4" s="81"/>
      <c r="L4" s="82"/>
      <c r="M4" s="82"/>
    </row>
    <row r="5" spans="1:13" x14ac:dyDescent="0.25">
      <c r="A5" s="18"/>
      <c r="B5" s="83" t="s">
        <v>7</v>
      </c>
      <c r="C5" s="287" t="s">
        <v>4</v>
      </c>
      <c r="D5" s="287"/>
      <c r="E5" s="287"/>
      <c r="F5" s="287"/>
      <c r="G5" s="287"/>
      <c r="H5" s="287"/>
      <c r="I5" s="287"/>
      <c r="J5" s="287"/>
      <c r="K5" s="84" t="s">
        <v>5</v>
      </c>
      <c r="L5" s="85" t="s">
        <v>6</v>
      </c>
      <c r="M5" s="83"/>
    </row>
    <row r="6" spans="1:13" x14ac:dyDescent="0.25">
      <c r="A6" t="s">
        <v>67</v>
      </c>
      <c r="B6" s="95">
        <v>44896</v>
      </c>
      <c r="C6" s="282" t="s">
        <v>361</v>
      </c>
      <c r="D6" s="282"/>
      <c r="E6" s="282"/>
      <c r="F6" s="282"/>
      <c r="G6" s="282"/>
      <c r="H6" s="282"/>
      <c r="I6" s="282"/>
      <c r="J6" s="11"/>
      <c r="K6" s="35">
        <v>0.40625</v>
      </c>
      <c r="L6" s="21">
        <v>0.8125</v>
      </c>
      <c r="M6" s="14">
        <f t="shared" ref="M6:M18" si="0">L6-K6</f>
        <v>0.40625</v>
      </c>
    </row>
    <row r="7" spans="1:13" x14ac:dyDescent="0.25">
      <c r="A7" t="s">
        <v>68</v>
      </c>
      <c r="B7" s="95">
        <v>44897</v>
      </c>
      <c r="C7" s="282" t="s">
        <v>362</v>
      </c>
      <c r="D7" s="282"/>
      <c r="E7" s="282"/>
      <c r="F7" s="282"/>
      <c r="G7" s="282"/>
      <c r="H7" s="282"/>
      <c r="I7" s="282"/>
      <c r="J7" s="11"/>
      <c r="K7" s="35">
        <v>0.40625</v>
      </c>
      <c r="L7" s="21">
        <v>0.8125</v>
      </c>
      <c r="M7" s="14">
        <f t="shared" si="0"/>
        <v>0.40625</v>
      </c>
    </row>
    <row r="8" spans="1:13" ht="15" customHeight="1" x14ac:dyDescent="0.25">
      <c r="A8" s="61" t="s">
        <v>69</v>
      </c>
      <c r="B8" s="96">
        <v>44898</v>
      </c>
      <c r="C8" s="279"/>
      <c r="D8" s="279"/>
      <c r="E8" s="279"/>
      <c r="F8" s="279"/>
      <c r="G8" s="279"/>
      <c r="H8" s="279"/>
      <c r="I8" s="279"/>
      <c r="J8" s="38"/>
      <c r="K8" s="40"/>
      <c r="L8" s="41"/>
      <c r="M8" s="49"/>
    </row>
    <row r="9" spans="1:13" ht="15" customHeight="1" x14ac:dyDescent="0.25">
      <c r="A9" s="61" t="s">
        <v>30</v>
      </c>
      <c r="B9" s="96">
        <v>44899</v>
      </c>
      <c r="C9" s="279"/>
      <c r="D9" s="279"/>
      <c r="E9" s="279"/>
      <c r="F9" s="279"/>
      <c r="G9" s="279"/>
      <c r="H9" s="279"/>
      <c r="I9" s="279"/>
      <c r="J9" s="42"/>
      <c r="K9" s="40"/>
      <c r="L9" s="41"/>
      <c r="M9" s="49"/>
    </row>
    <row r="10" spans="1:13" ht="15" customHeight="1" x14ac:dyDescent="0.25">
      <c r="A10" t="s">
        <v>64</v>
      </c>
      <c r="B10" s="95">
        <v>44900</v>
      </c>
      <c r="C10" s="194" t="s">
        <v>363</v>
      </c>
      <c r="D10" s="194"/>
      <c r="E10" s="194"/>
      <c r="F10" s="194"/>
      <c r="G10" s="194"/>
      <c r="H10" s="194"/>
      <c r="I10" s="194"/>
      <c r="J10" s="18"/>
      <c r="K10" s="35">
        <v>0.40625</v>
      </c>
      <c r="L10" s="21">
        <v>0.85416666666666663</v>
      </c>
      <c r="M10" s="14">
        <f t="shared" si="0"/>
        <v>0.44791666666666663</v>
      </c>
    </row>
    <row r="11" spans="1:13" x14ac:dyDescent="0.25">
      <c r="A11" t="s">
        <v>65</v>
      </c>
      <c r="B11" s="95">
        <v>44901</v>
      </c>
      <c r="C11" s="259" t="s">
        <v>387</v>
      </c>
      <c r="D11" s="259"/>
      <c r="E11" s="259"/>
      <c r="F11" s="259"/>
      <c r="G11" s="259"/>
      <c r="H11" s="259"/>
      <c r="I11" s="259"/>
      <c r="J11" s="18"/>
      <c r="K11" s="35">
        <v>0.40625</v>
      </c>
      <c r="L11" s="21">
        <v>0.72916666666666663</v>
      </c>
      <c r="M11" s="14">
        <f t="shared" si="0"/>
        <v>0.32291666666666663</v>
      </c>
    </row>
    <row r="12" spans="1:13" ht="15" customHeight="1" x14ac:dyDescent="0.25">
      <c r="A12" t="s">
        <v>66</v>
      </c>
      <c r="B12" s="95">
        <v>44902</v>
      </c>
      <c r="C12" s="221" t="s">
        <v>385</v>
      </c>
      <c r="D12" s="222"/>
      <c r="E12" s="222"/>
      <c r="F12" s="222"/>
      <c r="G12" s="222"/>
      <c r="H12" s="222"/>
      <c r="I12" s="223"/>
      <c r="J12" s="77"/>
      <c r="K12" s="35">
        <v>0.40625</v>
      </c>
      <c r="L12" s="21">
        <v>0.85416666666666663</v>
      </c>
      <c r="M12" s="14">
        <f t="shared" si="0"/>
        <v>0.44791666666666663</v>
      </c>
    </row>
    <row r="13" spans="1:13" x14ac:dyDescent="0.25">
      <c r="A13" t="s">
        <v>67</v>
      </c>
      <c r="B13" s="95">
        <v>44903</v>
      </c>
      <c r="C13" s="259" t="s">
        <v>386</v>
      </c>
      <c r="D13" s="259"/>
      <c r="E13" s="259"/>
      <c r="F13" s="259"/>
      <c r="G13" s="259"/>
      <c r="H13" s="259"/>
      <c r="I13" s="259"/>
      <c r="J13" s="77"/>
      <c r="K13" s="35">
        <v>0.40625</v>
      </c>
      <c r="L13" s="21">
        <v>0.85416666666666696</v>
      </c>
      <c r="M13" s="14">
        <f t="shared" si="0"/>
        <v>0.44791666666666696</v>
      </c>
    </row>
    <row r="14" spans="1:13" x14ac:dyDescent="0.25">
      <c r="A14" t="s">
        <v>68</v>
      </c>
      <c r="B14" s="95">
        <v>44904</v>
      </c>
      <c r="C14" s="259" t="s">
        <v>388</v>
      </c>
      <c r="D14" s="259"/>
      <c r="E14" s="259"/>
      <c r="F14" s="259"/>
      <c r="G14" s="259"/>
      <c r="H14" s="259"/>
      <c r="I14" s="259"/>
      <c r="J14" s="77"/>
      <c r="K14" s="35">
        <v>0.41736111111111113</v>
      </c>
      <c r="L14" s="21">
        <v>0.85416666666666663</v>
      </c>
      <c r="M14" s="14">
        <f t="shared" si="0"/>
        <v>0.4368055555555555</v>
      </c>
    </row>
    <row r="15" spans="1:13" ht="15" customHeight="1" x14ac:dyDescent="0.25">
      <c r="A15" s="61" t="s">
        <v>69</v>
      </c>
      <c r="B15" s="96">
        <v>44905</v>
      </c>
      <c r="C15" s="284"/>
      <c r="D15" s="284"/>
      <c r="E15" s="284"/>
      <c r="F15" s="284"/>
      <c r="G15" s="284"/>
      <c r="H15" s="284"/>
      <c r="I15" s="284"/>
      <c r="J15" s="78"/>
      <c r="K15" s="40"/>
      <c r="L15" s="41"/>
      <c r="M15" s="49">
        <f t="shared" si="0"/>
        <v>0</v>
      </c>
    </row>
    <row r="16" spans="1:13" x14ac:dyDescent="0.25">
      <c r="A16" s="61" t="s">
        <v>30</v>
      </c>
      <c r="B16" s="96">
        <v>44906</v>
      </c>
      <c r="C16" s="284"/>
      <c r="D16" s="284"/>
      <c r="E16" s="284"/>
      <c r="F16" s="284"/>
      <c r="G16" s="284"/>
      <c r="H16" s="284"/>
      <c r="I16" s="284"/>
      <c r="J16" s="42"/>
      <c r="K16" s="40"/>
      <c r="L16" s="41"/>
      <c r="M16" s="49">
        <f t="shared" si="0"/>
        <v>0</v>
      </c>
    </row>
    <row r="17" spans="1:13" ht="15" customHeight="1" x14ac:dyDescent="0.25">
      <c r="A17" t="s">
        <v>64</v>
      </c>
      <c r="B17" s="95">
        <v>44907</v>
      </c>
      <c r="C17" s="194" t="s">
        <v>389</v>
      </c>
      <c r="D17" s="194"/>
      <c r="E17" s="194"/>
      <c r="F17" s="194"/>
      <c r="G17" s="194"/>
      <c r="H17" s="194"/>
      <c r="I17" s="194"/>
      <c r="J17" s="18"/>
      <c r="K17" s="35">
        <v>0.40625</v>
      </c>
      <c r="L17" s="21">
        <v>0.85416666666666663</v>
      </c>
      <c r="M17" s="14">
        <f>L17-K17</f>
        <v>0.44791666666666663</v>
      </c>
    </row>
    <row r="18" spans="1:13" ht="15" customHeight="1" x14ac:dyDescent="0.25">
      <c r="A18" t="s">
        <v>65</v>
      </c>
      <c r="B18" s="95">
        <v>44908</v>
      </c>
      <c r="C18" s="259" t="s">
        <v>390</v>
      </c>
      <c r="D18" s="259"/>
      <c r="E18" s="259"/>
      <c r="F18" s="259"/>
      <c r="G18" s="259"/>
      <c r="H18" s="259"/>
      <c r="I18" s="259"/>
      <c r="J18" s="18"/>
      <c r="K18" s="35">
        <v>0.40625</v>
      </c>
      <c r="L18" s="21">
        <v>0.85416666666666663</v>
      </c>
      <c r="M18" s="14">
        <f t="shared" si="0"/>
        <v>0.44791666666666663</v>
      </c>
    </row>
    <row r="19" spans="1:13" x14ac:dyDescent="0.25">
      <c r="A19" t="s">
        <v>66</v>
      </c>
      <c r="B19" s="95">
        <v>44909</v>
      </c>
      <c r="C19" s="259" t="s">
        <v>391</v>
      </c>
      <c r="D19" s="259"/>
      <c r="E19" s="259"/>
      <c r="F19" s="259"/>
      <c r="G19" s="259"/>
      <c r="H19" s="259"/>
      <c r="I19" s="259"/>
      <c r="J19" s="77"/>
      <c r="K19" s="35">
        <v>0.40625</v>
      </c>
      <c r="L19" s="21">
        <v>0.85416666666666663</v>
      </c>
      <c r="M19" s="14">
        <f t="shared" ref="M19:M35" si="1">L19-K19</f>
        <v>0.44791666666666663</v>
      </c>
    </row>
    <row r="20" spans="1:13" ht="15" customHeight="1" x14ac:dyDescent="0.25">
      <c r="A20" t="s">
        <v>67</v>
      </c>
      <c r="B20" s="95">
        <v>44910</v>
      </c>
      <c r="C20" s="259" t="s">
        <v>392</v>
      </c>
      <c r="D20" s="259"/>
      <c r="E20" s="259"/>
      <c r="F20" s="259"/>
      <c r="G20" s="259"/>
      <c r="H20" s="259"/>
      <c r="I20" s="259"/>
      <c r="J20" s="77"/>
      <c r="K20" s="35">
        <v>0.40625</v>
      </c>
      <c r="L20" s="21">
        <v>0.85416666666666663</v>
      </c>
      <c r="M20" s="14">
        <f t="shared" si="1"/>
        <v>0.44791666666666663</v>
      </c>
    </row>
    <row r="21" spans="1:13" ht="15" customHeight="1" x14ac:dyDescent="0.25">
      <c r="A21" t="s">
        <v>68</v>
      </c>
      <c r="B21" s="95">
        <v>44911</v>
      </c>
      <c r="C21" s="259" t="s">
        <v>393</v>
      </c>
      <c r="D21" s="259"/>
      <c r="E21" s="259"/>
      <c r="F21" s="259"/>
      <c r="G21" s="259"/>
      <c r="H21" s="259"/>
      <c r="I21" s="259"/>
      <c r="J21" s="18"/>
      <c r="K21" s="35">
        <v>0.40625</v>
      </c>
      <c r="L21" s="21">
        <v>0.85416666666666663</v>
      </c>
      <c r="M21" s="14">
        <f t="shared" si="1"/>
        <v>0.44791666666666663</v>
      </c>
    </row>
    <row r="22" spans="1:13" x14ac:dyDescent="0.25">
      <c r="A22" s="61" t="s">
        <v>69</v>
      </c>
      <c r="B22" s="96">
        <v>44912</v>
      </c>
      <c r="C22" s="284"/>
      <c r="D22" s="284"/>
      <c r="E22" s="284"/>
      <c r="F22" s="284"/>
      <c r="G22" s="284"/>
      <c r="H22" s="284"/>
      <c r="I22" s="284"/>
      <c r="J22" s="42"/>
      <c r="K22" s="40"/>
      <c r="L22" s="41"/>
      <c r="M22" s="49">
        <f t="shared" si="1"/>
        <v>0</v>
      </c>
    </row>
    <row r="23" spans="1:13" x14ac:dyDescent="0.25">
      <c r="A23" s="61" t="s">
        <v>30</v>
      </c>
      <c r="B23" s="96">
        <v>44913</v>
      </c>
      <c r="C23" s="284"/>
      <c r="D23" s="284"/>
      <c r="E23" s="284"/>
      <c r="F23" s="284"/>
      <c r="G23" s="284"/>
      <c r="H23" s="284"/>
      <c r="I23" s="284"/>
      <c r="J23" s="42"/>
      <c r="K23" s="40"/>
      <c r="L23" s="41"/>
      <c r="M23" s="49">
        <f t="shared" si="1"/>
        <v>0</v>
      </c>
    </row>
    <row r="24" spans="1:13" x14ac:dyDescent="0.25">
      <c r="A24" t="s">
        <v>64</v>
      </c>
      <c r="B24" s="95">
        <v>44914</v>
      </c>
      <c r="C24" s="194" t="s">
        <v>394</v>
      </c>
      <c r="D24" s="194"/>
      <c r="E24" s="194"/>
      <c r="F24" s="194"/>
      <c r="G24" s="194"/>
      <c r="H24" s="194"/>
      <c r="I24" s="194"/>
      <c r="J24" s="18"/>
      <c r="K24" s="35">
        <v>0.40625</v>
      </c>
      <c r="L24" s="21">
        <v>0.8125</v>
      </c>
      <c r="M24" s="14">
        <f t="shared" si="1"/>
        <v>0.40625</v>
      </c>
    </row>
    <row r="25" spans="1:13" x14ac:dyDescent="0.25">
      <c r="A25" t="s">
        <v>65</v>
      </c>
      <c r="B25" s="95">
        <v>44915</v>
      </c>
      <c r="C25" s="305" t="s">
        <v>395</v>
      </c>
      <c r="D25" s="305"/>
      <c r="E25" s="305"/>
      <c r="F25" s="305"/>
      <c r="G25" s="305"/>
      <c r="H25" s="305"/>
      <c r="I25" s="305"/>
      <c r="J25" s="18"/>
      <c r="K25" s="35">
        <v>0.40625</v>
      </c>
      <c r="L25" s="21">
        <v>0.8125</v>
      </c>
      <c r="M25" s="14">
        <f t="shared" si="1"/>
        <v>0.40625</v>
      </c>
    </row>
    <row r="26" spans="1:13" x14ac:dyDescent="0.25">
      <c r="A26" t="s">
        <v>66</v>
      </c>
      <c r="B26" s="95">
        <v>44916</v>
      </c>
      <c r="C26" s="194" t="s">
        <v>396</v>
      </c>
      <c r="D26" s="194"/>
      <c r="E26" s="194"/>
      <c r="F26" s="194"/>
      <c r="G26" s="194"/>
      <c r="H26" s="194"/>
      <c r="I26" s="194"/>
      <c r="J26" s="37"/>
      <c r="K26" s="35">
        <v>0.40625</v>
      </c>
      <c r="L26" s="21">
        <v>0.72916666666666663</v>
      </c>
      <c r="M26" s="14">
        <f t="shared" si="1"/>
        <v>0.32291666666666663</v>
      </c>
    </row>
    <row r="27" spans="1:13" x14ac:dyDescent="0.25">
      <c r="A27" t="s">
        <v>67</v>
      </c>
      <c r="B27" s="95">
        <v>44917</v>
      </c>
      <c r="C27" s="194" t="s">
        <v>397</v>
      </c>
      <c r="D27" s="194"/>
      <c r="E27" s="194"/>
      <c r="F27" s="194"/>
      <c r="G27" s="194"/>
      <c r="H27" s="194"/>
      <c r="I27" s="194"/>
      <c r="J27" s="37"/>
      <c r="K27" s="35">
        <v>0.40625</v>
      </c>
      <c r="L27" s="21">
        <v>0.8125</v>
      </c>
      <c r="M27" s="14">
        <f t="shared" si="1"/>
        <v>0.40625</v>
      </c>
    </row>
    <row r="28" spans="1:13" x14ac:dyDescent="0.25">
      <c r="A28" t="s">
        <v>68</v>
      </c>
      <c r="B28" s="95">
        <v>44918</v>
      </c>
      <c r="C28" s="194" t="s">
        <v>398</v>
      </c>
      <c r="D28" s="194"/>
      <c r="E28" s="194"/>
      <c r="F28" s="194"/>
      <c r="G28" s="194"/>
      <c r="H28" s="194"/>
      <c r="I28" s="194"/>
      <c r="J28" s="37"/>
      <c r="K28" s="35">
        <v>0.40625</v>
      </c>
      <c r="L28" s="21">
        <v>0.8125</v>
      </c>
      <c r="M28" s="14">
        <f t="shared" si="1"/>
        <v>0.40625</v>
      </c>
    </row>
    <row r="29" spans="1:13" x14ac:dyDescent="0.25">
      <c r="A29" s="61" t="s">
        <v>69</v>
      </c>
      <c r="B29" s="96">
        <v>44919</v>
      </c>
      <c r="C29" s="306"/>
      <c r="D29" s="307"/>
      <c r="E29" s="307"/>
      <c r="F29" s="307"/>
      <c r="G29" s="307"/>
      <c r="H29" s="307"/>
      <c r="I29" s="308"/>
      <c r="J29" s="44"/>
      <c r="K29" s="40"/>
      <c r="L29" s="41"/>
      <c r="M29" s="49">
        <f t="shared" si="1"/>
        <v>0</v>
      </c>
    </row>
    <row r="30" spans="1:13" ht="15" customHeight="1" x14ac:dyDescent="0.25">
      <c r="A30" s="61" t="s">
        <v>30</v>
      </c>
      <c r="B30" s="96">
        <v>44920</v>
      </c>
      <c r="C30" s="306"/>
      <c r="D30" s="307"/>
      <c r="E30" s="307"/>
      <c r="F30" s="307"/>
      <c r="G30" s="307"/>
      <c r="H30" s="307"/>
      <c r="I30" s="308"/>
      <c r="J30" s="42"/>
      <c r="K30" s="40"/>
      <c r="L30" s="41"/>
      <c r="M30" s="49">
        <f t="shared" si="1"/>
        <v>0</v>
      </c>
    </row>
    <row r="31" spans="1:13" x14ac:dyDescent="0.25">
      <c r="A31" t="s">
        <v>64</v>
      </c>
      <c r="B31" s="95">
        <v>44921</v>
      </c>
      <c r="C31" s="194" t="s">
        <v>400</v>
      </c>
      <c r="D31" s="194"/>
      <c r="E31" s="194"/>
      <c r="F31" s="194"/>
      <c r="G31" s="194"/>
      <c r="H31" s="194"/>
      <c r="I31" s="194"/>
      <c r="J31" s="18"/>
      <c r="K31" s="35">
        <v>0.40625</v>
      </c>
      <c r="L31" s="21">
        <v>0.6875</v>
      </c>
      <c r="M31" s="14">
        <f t="shared" si="1"/>
        <v>0.28125</v>
      </c>
    </row>
    <row r="32" spans="1:13" x14ac:dyDescent="0.25">
      <c r="A32" t="s">
        <v>65</v>
      </c>
      <c r="B32" s="95">
        <v>44922</v>
      </c>
      <c r="C32" s="194" t="s">
        <v>399</v>
      </c>
      <c r="D32" s="194"/>
      <c r="E32" s="194"/>
      <c r="F32" s="194"/>
      <c r="G32" s="194"/>
      <c r="H32" s="194"/>
      <c r="I32" s="194"/>
      <c r="J32" s="18"/>
      <c r="K32" s="35">
        <v>0.38541666666666669</v>
      </c>
      <c r="L32" s="21">
        <v>0.72916666666666663</v>
      </c>
      <c r="M32" s="14">
        <f t="shared" si="1"/>
        <v>0.34374999999999994</v>
      </c>
    </row>
    <row r="33" spans="1:13" x14ac:dyDescent="0.25">
      <c r="A33" t="s">
        <v>66</v>
      </c>
      <c r="B33" s="95">
        <v>44923</v>
      </c>
      <c r="C33" s="194" t="s">
        <v>399</v>
      </c>
      <c r="D33" s="194"/>
      <c r="E33" s="194"/>
      <c r="F33" s="194"/>
      <c r="G33" s="194"/>
      <c r="H33" s="194"/>
      <c r="I33" s="194"/>
      <c r="J33" s="18"/>
      <c r="K33" s="35">
        <v>0.45833333333333331</v>
      </c>
      <c r="L33" s="21">
        <v>0.97916666666666663</v>
      </c>
      <c r="M33" s="14">
        <f t="shared" si="1"/>
        <v>0.52083333333333326</v>
      </c>
    </row>
    <row r="34" spans="1:13" x14ac:dyDescent="0.25">
      <c r="A34" t="s">
        <v>67</v>
      </c>
      <c r="B34" s="95">
        <v>44924</v>
      </c>
      <c r="C34" s="194" t="s">
        <v>399</v>
      </c>
      <c r="D34" s="194"/>
      <c r="E34" s="194"/>
      <c r="F34" s="194"/>
      <c r="G34" s="194"/>
      <c r="H34" s="194"/>
      <c r="I34" s="194"/>
      <c r="J34" s="18"/>
      <c r="K34" s="35">
        <v>0.41666666666666669</v>
      </c>
      <c r="L34" s="21">
        <v>0.97916666666666663</v>
      </c>
      <c r="M34" s="14">
        <f t="shared" si="1"/>
        <v>0.5625</v>
      </c>
    </row>
    <row r="35" spans="1:13" x14ac:dyDescent="0.25">
      <c r="A35" t="s">
        <v>68</v>
      </c>
      <c r="B35" s="95">
        <v>44925</v>
      </c>
      <c r="C35" s="194" t="s">
        <v>399</v>
      </c>
      <c r="D35" s="194"/>
      <c r="E35" s="194"/>
      <c r="F35" s="194"/>
      <c r="G35" s="194"/>
      <c r="H35" s="194"/>
      <c r="I35" s="194"/>
      <c r="J35" s="18"/>
      <c r="K35" s="35">
        <v>0.44097222222222227</v>
      </c>
      <c r="L35" s="21">
        <v>0.8125</v>
      </c>
      <c r="M35" s="14">
        <f t="shared" si="1"/>
        <v>0.37152777777777773</v>
      </c>
    </row>
    <row r="36" spans="1:13" x14ac:dyDescent="0.25">
      <c r="A36" s="61" t="s">
        <v>69</v>
      </c>
      <c r="B36" s="96">
        <v>44926</v>
      </c>
      <c r="C36" s="279"/>
      <c r="D36" s="279"/>
      <c r="E36" s="279"/>
      <c r="F36" s="279"/>
      <c r="G36" s="279"/>
      <c r="H36" s="279"/>
      <c r="I36" s="279"/>
      <c r="J36" s="42"/>
      <c r="K36" s="40"/>
      <c r="L36" s="41"/>
      <c r="M36" s="49"/>
    </row>
  </sheetData>
  <mergeCells count="37">
    <mergeCell ref="C5:J5"/>
    <mergeCell ref="B1:M1"/>
    <mergeCell ref="C2:E2"/>
    <mergeCell ref="G2:M2"/>
    <mergeCell ref="C3:E3"/>
    <mergeCell ref="G3:M3"/>
    <mergeCell ref="C17:I17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29:I29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36:I36"/>
    <mergeCell ref="C30:I30"/>
    <mergeCell ref="C31:I31"/>
    <mergeCell ref="C32:I32"/>
    <mergeCell ref="C33:I33"/>
    <mergeCell ref="C34:I34"/>
    <mergeCell ref="C35:I35"/>
  </mergeCells>
  <phoneticPr fontId="6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C6B0-BA27-4A33-B428-7EB58FEC4EA7}">
  <dimension ref="A1:M36"/>
  <sheetViews>
    <sheetView topLeftCell="A12" zoomScale="115" workbookViewId="0">
      <selection activeCell="C36" sqref="C36:I36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6" max="6" width="11.7109375" bestFit="1" customWidth="1"/>
    <col min="9" max="9" width="34.42578125" customWidth="1"/>
    <col min="11" max="11" width="11.5703125" style="23" bestFit="1" customWidth="1"/>
    <col min="12" max="12" width="9.140625" style="23"/>
    <col min="13" max="13" width="11" bestFit="1" customWidth="1"/>
  </cols>
  <sheetData>
    <row r="1" spans="1:13" ht="18.75" x14ac:dyDescent="0.3">
      <c r="A1" s="18"/>
      <c r="B1" s="285" t="s">
        <v>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x14ac:dyDescent="0.25">
      <c r="A2" s="18"/>
      <c r="B2" s="79" t="s">
        <v>1</v>
      </c>
      <c r="C2" s="286" t="s">
        <v>34</v>
      </c>
      <c r="D2" s="286"/>
      <c r="E2" s="286"/>
      <c r="F2" s="79" t="s">
        <v>8</v>
      </c>
      <c r="G2" s="286" t="s">
        <v>35</v>
      </c>
      <c r="H2" s="286"/>
      <c r="I2" s="286"/>
      <c r="J2" s="286"/>
      <c r="K2" s="286"/>
      <c r="L2" s="286"/>
      <c r="M2" s="286"/>
    </row>
    <row r="3" spans="1:13" x14ac:dyDescent="0.25">
      <c r="A3" s="18"/>
      <c r="B3" s="79" t="s">
        <v>2</v>
      </c>
      <c r="C3" s="286" t="s">
        <v>36</v>
      </c>
      <c r="D3" s="286"/>
      <c r="E3" s="286"/>
      <c r="F3" s="79" t="s">
        <v>3</v>
      </c>
      <c r="G3" s="286" t="s">
        <v>13</v>
      </c>
      <c r="H3" s="286"/>
      <c r="I3" s="286"/>
      <c r="J3" s="286"/>
      <c r="K3" s="286"/>
      <c r="L3" s="286"/>
      <c r="M3" s="286"/>
    </row>
    <row r="4" spans="1:13" x14ac:dyDescent="0.25">
      <c r="A4" s="18"/>
      <c r="B4" s="80"/>
      <c r="C4" s="80"/>
      <c r="D4" s="80"/>
      <c r="E4" s="80"/>
      <c r="F4" s="80"/>
      <c r="G4" s="80"/>
      <c r="H4" s="80"/>
      <c r="I4" s="80"/>
      <c r="J4" s="80"/>
      <c r="K4" s="81"/>
      <c r="L4" s="82"/>
      <c r="M4" s="82"/>
    </row>
    <row r="5" spans="1:13" x14ac:dyDescent="0.25">
      <c r="A5" s="18"/>
      <c r="B5" s="83" t="s">
        <v>7</v>
      </c>
      <c r="C5" s="287" t="s">
        <v>4</v>
      </c>
      <c r="D5" s="287"/>
      <c r="E5" s="287"/>
      <c r="F5" s="287"/>
      <c r="G5" s="287"/>
      <c r="H5" s="287"/>
      <c r="I5" s="287"/>
      <c r="J5" s="287"/>
      <c r="K5" s="84" t="s">
        <v>5</v>
      </c>
      <c r="L5" s="85" t="s">
        <v>6</v>
      </c>
      <c r="M5" s="83"/>
    </row>
    <row r="6" spans="1:13" x14ac:dyDescent="0.25">
      <c r="A6" t="s">
        <v>65</v>
      </c>
      <c r="B6" s="95">
        <v>44866</v>
      </c>
      <c r="C6" s="282" t="s">
        <v>364</v>
      </c>
      <c r="D6" s="282"/>
      <c r="E6" s="282"/>
      <c r="F6" s="282"/>
      <c r="G6" s="282"/>
      <c r="H6" s="282"/>
      <c r="I6" s="282"/>
      <c r="J6" s="11"/>
      <c r="K6" s="35">
        <v>0.39583333333333331</v>
      </c>
      <c r="L6" s="21">
        <v>0.8125</v>
      </c>
      <c r="M6" s="14">
        <v>0.41666666666666669</v>
      </c>
    </row>
    <row r="7" spans="1:13" x14ac:dyDescent="0.25">
      <c r="A7" t="s">
        <v>66</v>
      </c>
      <c r="B7" s="95">
        <v>44867</v>
      </c>
      <c r="C7" s="282" t="s">
        <v>365</v>
      </c>
      <c r="D7" s="282"/>
      <c r="E7" s="282"/>
      <c r="F7" s="282"/>
      <c r="G7" s="282"/>
      <c r="H7" s="282"/>
      <c r="I7" s="282"/>
      <c r="J7" s="11"/>
      <c r="K7" s="35">
        <v>0.39583333333333331</v>
      </c>
      <c r="L7" s="21">
        <v>0.8125</v>
      </c>
      <c r="M7" s="14">
        <v>0.41666666666666669</v>
      </c>
    </row>
    <row r="8" spans="1:13" ht="15" customHeight="1" x14ac:dyDescent="0.25">
      <c r="A8" t="s">
        <v>67</v>
      </c>
      <c r="B8" s="95">
        <v>44868</v>
      </c>
      <c r="C8" s="194" t="s">
        <v>366</v>
      </c>
      <c r="D8" s="194"/>
      <c r="E8" s="194"/>
      <c r="F8" s="194"/>
      <c r="G8" s="194"/>
      <c r="H8" s="194"/>
      <c r="I8" s="194"/>
      <c r="J8" s="11"/>
      <c r="K8" s="35">
        <v>0.39583333333333331</v>
      </c>
      <c r="L8" s="21">
        <v>0.8125</v>
      </c>
      <c r="M8" s="14">
        <v>0.41666666666666669</v>
      </c>
    </row>
    <row r="9" spans="1:13" ht="15" customHeight="1" x14ac:dyDescent="0.25">
      <c r="A9" t="s">
        <v>68</v>
      </c>
      <c r="B9" s="95">
        <v>44869</v>
      </c>
      <c r="C9" s="194" t="s">
        <v>268</v>
      </c>
      <c r="D9" s="194"/>
      <c r="E9" s="194"/>
      <c r="F9" s="194"/>
      <c r="G9" s="194"/>
      <c r="H9" s="194"/>
      <c r="I9" s="194"/>
      <c r="J9" s="18"/>
      <c r="K9" s="35"/>
      <c r="L9" s="21"/>
      <c r="M9" s="14"/>
    </row>
    <row r="10" spans="1:13" ht="15" customHeight="1" x14ac:dyDescent="0.25">
      <c r="A10" s="61"/>
      <c r="B10" s="96">
        <v>44870</v>
      </c>
      <c r="C10" s="279" t="s">
        <v>69</v>
      </c>
      <c r="D10" s="279"/>
      <c r="E10" s="279"/>
      <c r="F10" s="279"/>
      <c r="G10" s="279"/>
      <c r="H10" s="279"/>
      <c r="I10" s="279"/>
      <c r="J10" s="42"/>
      <c r="K10" s="40"/>
      <c r="L10" s="41"/>
      <c r="M10" s="49"/>
    </row>
    <row r="11" spans="1:13" x14ac:dyDescent="0.25">
      <c r="A11" s="61"/>
      <c r="B11" s="96">
        <v>44871</v>
      </c>
      <c r="C11" s="284" t="s">
        <v>30</v>
      </c>
      <c r="D11" s="284"/>
      <c r="E11" s="284"/>
      <c r="F11" s="284"/>
      <c r="G11" s="284"/>
      <c r="H11" s="284"/>
      <c r="I11" s="284"/>
      <c r="J11" s="42"/>
      <c r="K11" s="40"/>
      <c r="L11" s="41"/>
      <c r="M11" s="49"/>
    </row>
    <row r="12" spans="1:13" ht="15" customHeight="1" x14ac:dyDescent="0.25">
      <c r="A12" t="s">
        <v>64</v>
      </c>
      <c r="B12" s="95">
        <v>44872</v>
      </c>
      <c r="C12" s="221" t="s">
        <v>367</v>
      </c>
      <c r="D12" s="222"/>
      <c r="E12" s="222"/>
      <c r="F12" s="222"/>
      <c r="G12" s="222"/>
      <c r="H12" s="222"/>
      <c r="I12" s="223"/>
      <c r="J12" s="77"/>
      <c r="K12" s="35">
        <v>0.39583333333333331</v>
      </c>
      <c r="L12" s="21">
        <v>0.8125</v>
      </c>
      <c r="M12" s="14">
        <v>0.41666666666666669</v>
      </c>
    </row>
    <row r="13" spans="1:13" x14ac:dyDescent="0.25">
      <c r="A13" t="s">
        <v>65</v>
      </c>
      <c r="B13" s="95">
        <v>44873</v>
      </c>
      <c r="C13" s="259" t="s">
        <v>368</v>
      </c>
      <c r="D13" s="259"/>
      <c r="E13" s="259"/>
      <c r="F13" s="259"/>
      <c r="G13" s="259"/>
      <c r="H13" s="259"/>
      <c r="I13" s="259"/>
      <c r="J13" s="77"/>
      <c r="K13" s="35">
        <v>0.39583333333333331</v>
      </c>
      <c r="L13" s="21">
        <v>0.8125</v>
      </c>
      <c r="M13" s="14">
        <v>0.41666666666666669</v>
      </c>
    </row>
    <row r="14" spans="1:13" x14ac:dyDescent="0.25">
      <c r="A14" t="s">
        <v>66</v>
      </c>
      <c r="B14" s="95">
        <v>44874</v>
      </c>
      <c r="C14" s="259" t="s">
        <v>369</v>
      </c>
      <c r="D14" s="259"/>
      <c r="E14" s="259"/>
      <c r="F14" s="259"/>
      <c r="G14" s="259"/>
      <c r="H14" s="259"/>
      <c r="I14" s="259"/>
      <c r="J14" s="77"/>
      <c r="K14" s="35">
        <v>0.39583333333333331</v>
      </c>
      <c r="L14" s="21">
        <v>0.8125</v>
      </c>
      <c r="M14" s="14">
        <v>0.41666666666666669</v>
      </c>
    </row>
    <row r="15" spans="1:13" ht="15" customHeight="1" x14ac:dyDescent="0.25">
      <c r="A15" t="s">
        <v>67</v>
      </c>
      <c r="B15" s="95">
        <v>44875</v>
      </c>
      <c r="C15" s="259" t="s">
        <v>370</v>
      </c>
      <c r="D15" s="259"/>
      <c r="E15" s="259"/>
      <c r="F15" s="259"/>
      <c r="G15" s="259"/>
      <c r="H15" s="259"/>
      <c r="I15" s="259"/>
      <c r="J15" s="77"/>
      <c r="K15" s="35">
        <v>0.39583333333333331</v>
      </c>
      <c r="L15" s="21">
        <v>0.8125</v>
      </c>
      <c r="M15" s="14">
        <v>0.41666666666666669</v>
      </c>
    </row>
    <row r="16" spans="1:13" x14ac:dyDescent="0.25">
      <c r="A16" t="s">
        <v>68</v>
      </c>
      <c r="B16" s="95">
        <v>44876</v>
      </c>
      <c r="C16" s="259" t="s">
        <v>371</v>
      </c>
      <c r="D16" s="259"/>
      <c r="E16" s="259"/>
      <c r="F16" s="259"/>
      <c r="G16" s="259"/>
      <c r="H16" s="259"/>
      <c r="I16" s="259"/>
      <c r="J16" s="18"/>
      <c r="K16" s="35">
        <v>0.39583333333333331</v>
      </c>
      <c r="L16" s="21">
        <v>0.8125</v>
      </c>
      <c r="M16" s="14">
        <v>0.41666666666666669</v>
      </c>
    </row>
    <row r="17" spans="1:13" ht="15" customHeight="1" x14ac:dyDescent="0.25">
      <c r="A17" s="61" t="s">
        <v>69</v>
      </c>
      <c r="B17" s="96">
        <v>44870</v>
      </c>
      <c r="C17" s="279" t="s">
        <v>69</v>
      </c>
      <c r="D17" s="279"/>
      <c r="E17" s="279"/>
      <c r="F17" s="279"/>
      <c r="G17" s="279"/>
      <c r="H17" s="279"/>
      <c r="I17" s="279"/>
      <c r="J17" s="42"/>
      <c r="K17" s="40"/>
      <c r="L17" s="41"/>
      <c r="M17" s="49"/>
    </row>
    <row r="18" spans="1:13" ht="15" customHeight="1" x14ac:dyDescent="0.25">
      <c r="A18" s="61" t="s">
        <v>30</v>
      </c>
      <c r="B18" s="96">
        <v>44871</v>
      </c>
      <c r="C18" s="284" t="s">
        <v>30</v>
      </c>
      <c r="D18" s="284"/>
      <c r="E18" s="284"/>
      <c r="F18" s="284"/>
      <c r="G18" s="284"/>
      <c r="H18" s="284"/>
      <c r="I18" s="284"/>
      <c r="J18" s="42"/>
      <c r="K18" s="40"/>
      <c r="L18" s="41"/>
      <c r="M18" s="49"/>
    </row>
    <row r="19" spans="1:13" x14ac:dyDescent="0.25">
      <c r="A19" t="s">
        <v>64</v>
      </c>
      <c r="B19" s="95">
        <v>44879</v>
      </c>
      <c r="C19" s="259" t="s">
        <v>372</v>
      </c>
      <c r="D19" s="259"/>
      <c r="E19" s="259"/>
      <c r="F19" s="259"/>
      <c r="G19" s="259"/>
      <c r="H19" s="259"/>
      <c r="I19" s="259"/>
      <c r="J19" s="77"/>
      <c r="K19" s="35">
        <v>0.39583333333333331</v>
      </c>
      <c r="L19" s="21">
        <v>0.8125</v>
      </c>
      <c r="M19" s="14">
        <v>0.41666666666666669</v>
      </c>
    </row>
    <row r="20" spans="1:13" ht="15" customHeight="1" x14ac:dyDescent="0.25">
      <c r="A20" t="s">
        <v>65</v>
      </c>
      <c r="B20" s="95">
        <v>44880</v>
      </c>
      <c r="C20" s="259" t="s">
        <v>373</v>
      </c>
      <c r="D20" s="259"/>
      <c r="E20" s="259"/>
      <c r="F20" s="259"/>
      <c r="G20" s="259"/>
      <c r="H20" s="259"/>
      <c r="I20" s="259"/>
      <c r="J20" s="77"/>
      <c r="K20" s="35">
        <v>0.39583333333333331</v>
      </c>
      <c r="L20" s="21">
        <v>0.8125</v>
      </c>
      <c r="M20" s="14">
        <v>0.41666666666666669</v>
      </c>
    </row>
    <row r="21" spans="1:13" ht="15" customHeight="1" x14ac:dyDescent="0.25">
      <c r="A21" t="s">
        <v>66</v>
      </c>
      <c r="B21" s="95">
        <v>44881</v>
      </c>
      <c r="C21" s="259" t="s">
        <v>374</v>
      </c>
      <c r="D21" s="259"/>
      <c r="E21" s="259"/>
      <c r="F21" s="259"/>
      <c r="G21" s="259"/>
      <c r="H21" s="259"/>
      <c r="I21" s="259"/>
      <c r="J21" s="18"/>
      <c r="K21" s="35">
        <v>0.39583333333333331</v>
      </c>
      <c r="L21" s="21">
        <v>0.8125</v>
      </c>
      <c r="M21" s="14">
        <v>0.41666666666666669</v>
      </c>
    </row>
    <row r="22" spans="1:13" x14ac:dyDescent="0.25">
      <c r="A22" t="s">
        <v>67</v>
      </c>
      <c r="B22" s="95">
        <v>44882</v>
      </c>
      <c r="C22" s="259" t="s">
        <v>375</v>
      </c>
      <c r="D22" s="259"/>
      <c r="E22" s="259"/>
      <c r="F22" s="259"/>
      <c r="G22" s="259"/>
      <c r="H22" s="259"/>
      <c r="I22" s="259"/>
      <c r="J22" s="18"/>
      <c r="K22" s="35">
        <v>0.39583333333333331</v>
      </c>
      <c r="L22" s="21">
        <v>0.8125</v>
      </c>
      <c r="M22" s="14">
        <v>0.41666666666666669</v>
      </c>
    </row>
    <row r="23" spans="1:13" x14ac:dyDescent="0.25">
      <c r="A23" t="s">
        <v>68</v>
      </c>
      <c r="B23" s="95">
        <v>44883</v>
      </c>
      <c r="C23" s="259" t="s">
        <v>376</v>
      </c>
      <c r="D23" s="259"/>
      <c r="E23" s="259"/>
      <c r="F23" s="259"/>
      <c r="G23" s="259"/>
      <c r="H23" s="259"/>
      <c r="I23" s="259"/>
      <c r="J23" s="18"/>
      <c r="K23" s="35">
        <v>0.39583333333333331</v>
      </c>
      <c r="L23" s="21">
        <v>0.8125</v>
      </c>
      <c r="M23" s="14">
        <v>0.41666666666666669</v>
      </c>
    </row>
    <row r="24" spans="1:13" x14ac:dyDescent="0.25">
      <c r="A24" s="61" t="s">
        <v>69</v>
      </c>
      <c r="B24" s="96">
        <v>44870</v>
      </c>
      <c r="C24" s="279" t="s">
        <v>69</v>
      </c>
      <c r="D24" s="279"/>
      <c r="E24" s="279"/>
      <c r="F24" s="279"/>
      <c r="G24" s="279"/>
      <c r="H24" s="279"/>
      <c r="I24" s="279"/>
      <c r="J24" s="42"/>
      <c r="K24" s="40"/>
      <c r="L24" s="41"/>
      <c r="M24" s="14">
        <v>0</v>
      </c>
    </row>
    <row r="25" spans="1:13" x14ac:dyDescent="0.25">
      <c r="A25" s="61" t="s">
        <v>30</v>
      </c>
      <c r="B25" s="96">
        <v>44871</v>
      </c>
      <c r="C25" s="284" t="s">
        <v>30</v>
      </c>
      <c r="D25" s="284"/>
      <c r="E25" s="284"/>
      <c r="F25" s="284"/>
      <c r="G25" s="284"/>
      <c r="H25" s="284"/>
      <c r="I25" s="284"/>
      <c r="J25" s="42"/>
      <c r="K25" s="40"/>
      <c r="L25" s="41"/>
      <c r="M25" s="14">
        <v>0</v>
      </c>
    </row>
    <row r="26" spans="1:13" x14ac:dyDescent="0.25">
      <c r="A26" t="s">
        <v>64</v>
      </c>
      <c r="B26" s="95">
        <v>44886</v>
      </c>
      <c r="C26" s="194" t="s">
        <v>377</v>
      </c>
      <c r="D26" s="194"/>
      <c r="E26" s="194"/>
      <c r="F26" s="194"/>
      <c r="G26" s="194"/>
      <c r="H26" s="194"/>
      <c r="I26" s="194"/>
      <c r="J26" s="37"/>
      <c r="K26" s="35">
        <v>0.39583333333333331</v>
      </c>
      <c r="L26" s="21">
        <v>0.8125</v>
      </c>
      <c r="M26" s="14">
        <v>0.41666666666666669</v>
      </c>
    </row>
    <row r="27" spans="1:13" x14ac:dyDescent="0.25">
      <c r="A27" t="s">
        <v>65</v>
      </c>
      <c r="B27" s="95">
        <v>44887</v>
      </c>
      <c r="C27" s="194" t="s">
        <v>378</v>
      </c>
      <c r="D27" s="194"/>
      <c r="E27" s="194"/>
      <c r="F27" s="194"/>
      <c r="G27" s="194"/>
      <c r="H27" s="194"/>
      <c r="I27" s="194"/>
      <c r="J27" s="37"/>
      <c r="K27" s="35">
        <v>0.39583333333333331</v>
      </c>
      <c r="L27" s="21">
        <v>0.8125</v>
      </c>
      <c r="M27" s="14">
        <v>0.41666666666666669</v>
      </c>
    </row>
    <row r="28" spans="1:13" x14ac:dyDescent="0.25">
      <c r="A28" t="s">
        <v>66</v>
      </c>
      <c r="B28" s="95">
        <v>44888</v>
      </c>
      <c r="C28" s="194" t="s">
        <v>379</v>
      </c>
      <c r="D28" s="194"/>
      <c r="E28" s="194"/>
      <c r="F28" s="194"/>
      <c r="G28" s="194"/>
      <c r="H28" s="194"/>
      <c r="I28" s="194"/>
      <c r="J28" s="37"/>
      <c r="K28" s="35">
        <v>0.39583333333333331</v>
      </c>
      <c r="L28" s="21">
        <v>0.9375</v>
      </c>
      <c r="M28" s="14">
        <v>0.54166666666666674</v>
      </c>
    </row>
    <row r="29" spans="1:13" x14ac:dyDescent="0.25">
      <c r="A29" t="s">
        <v>67</v>
      </c>
      <c r="B29" s="95">
        <v>44889</v>
      </c>
      <c r="C29" s="312" t="s">
        <v>380</v>
      </c>
      <c r="D29" s="313"/>
      <c r="E29" s="313"/>
      <c r="F29" s="313"/>
      <c r="G29" s="313"/>
      <c r="H29" s="313"/>
      <c r="I29" s="314"/>
      <c r="J29" s="37"/>
      <c r="K29" s="35">
        <v>0.39583333333333331</v>
      </c>
      <c r="L29" s="21">
        <v>0.8125</v>
      </c>
      <c r="M29" s="14">
        <v>0.41666666666666669</v>
      </c>
    </row>
    <row r="30" spans="1:13" ht="15" customHeight="1" x14ac:dyDescent="0.25">
      <c r="A30" t="s">
        <v>68</v>
      </c>
      <c r="B30" s="95">
        <v>44890</v>
      </c>
      <c r="C30" s="312" t="s">
        <v>381</v>
      </c>
      <c r="D30" s="313"/>
      <c r="E30" s="313"/>
      <c r="F30" s="313"/>
      <c r="G30" s="313"/>
      <c r="H30" s="313"/>
      <c r="I30" s="314"/>
      <c r="J30" s="18"/>
      <c r="K30" s="35">
        <v>0.39583333333333331</v>
      </c>
      <c r="L30" s="21">
        <v>0.85416666666666663</v>
      </c>
      <c r="M30" s="14">
        <v>0.45833333333333331</v>
      </c>
    </row>
    <row r="31" spans="1:13" x14ac:dyDescent="0.25">
      <c r="A31" s="61" t="s">
        <v>69</v>
      </c>
      <c r="B31" s="96">
        <v>44870</v>
      </c>
      <c r="C31" s="279" t="s">
        <v>69</v>
      </c>
      <c r="D31" s="279"/>
      <c r="E31" s="279"/>
      <c r="F31" s="279"/>
      <c r="G31" s="279"/>
      <c r="H31" s="279"/>
      <c r="I31" s="279"/>
      <c r="J31" s="42"/>
      <c r="K31" s="40"/>
      <c r="L31" s="41"/>
      <c r="M31" s="14">
        <v>0</v>
      </c>
    </row>
    <row r="32" spans="1:13" x14ac:dyDescent="0.25">
      <c r="A32" s="61" t="s">
        <v>30</v>
      </c>
      <c r="B32" s="96">
        <v>44871</v>
      </c>
      <c r="C32" s="284" t="s">
        <v>30</v>
      </c>
      <c r="D32" s="284"/>
      <c r="E32" s="284"/>
      <c r="F32" s="284"/>
      <c r="G32" s="284"/>
      <c r="H32" s="284"/>
      <c r="I32" s="284"/>
      <c r="J32" s="42"/>
      <c r="K32" s="40"/>
      <c r="L32" s="41"/>
      <c r="M32" s="14">
        <v>0</v>
      </c>
    </row>
    <row r="33" spans="1:13" x14ac:dyDescent="0.25">
      <c r="A33" t="s">
        <v>64</v>
      </c>
      <c r="B33" s="95">
        <v>44893</v>
      </c>
      <c r="C33" s="194" t="s">
        <v>382</v>
      </c>
      <c r="D33" s="194"/>
      <c r="E33" s="194"/>
      <c r="F33" s="194"/>
      <c r="G33" s="194"/>
      <c r="H33" s="194"/>
      <c r="I33" s="194"/>
      <c r="J33" s="18"/>
      <c r="K33" s="35">
        <v>0.39583333333333331</v>
      </c>
      <c r="L33" s="21">
        <v>0.8125</v>
      </c>
      <c r="M33" s="14">
        <v>0.41666666666666669</v>
      </c>
    </row>
    <row r="34" spans="1:13" x14ac:dyDescent="0.25">
      <c r="A34" t="s">
        <v>65</v>
      </c>
      <c r="B34" s="95">
        <v>44894</v>
      </c>
      <c r="C34" s="194" t="s">
        <v>383</v>
      </c>
      <c r="D34" s="194"/>
      <c r="E34" s="194"/>
      <c r="F34" s="194"/>
      <c r="G34" s="194"/>
      <c r="H34" s="194"/>
      <c r="I34" s="194"/>
      <c r="J34" s="18"/>
      <c r="K34" s="35">
        <v>0.39583333333333331</v>
      </c>
      <c r="L34" s="21">
        <v>0.8125</v>
      </c>
      <c r="M34" s="14">
        <v>0.41666666666666669</v>
      </c>
    </row>
    <row r="35" spans="1:13" x14ac:dyDescent="0.25">
      <c r="A35" t="s">
        <v>66</v>
      </c>
      <c r="B35" s="95">
        <v>44895</v>
      </c>
      <c r="C35" s="194" t="s">
        <v>384</v>
      </c>
      <c r="D35" s="194"/>
      <c r="E35" s="194"/>
      <c r="F35" s="194"/>
      <c r="G35" s="194"/>
      <c r="H35" s="194"/>
      <c r="I35" s="194"/>
      <c r="J35" s="18"/>
      <c r="K35" s="35">
        <v>0.39583333333333331</v>
      </c>
      <c r="L35" s="21">
        <v>0.8125</v>
      </c>
      <c r="M35" s="14">
        <v>0.41666666666666669</v>
      </c>
    </row>
    <row r="36" spans="1:13" x14ac:dyDescent="0.25">
      <c r="A36" s="18"/>
      <c r="B36" s="95"/>
      <c r="C36" s="194"/>
      <c r="D36" s="194"/>
      <c r="E36" s="194"/>
      <c r="F36" s="194"/>
      <c r="G36" s="194"/>
      <c r="H36" s="194"/>
      <c r="I36" s="194"/>
      <c r="J36" s="18"/>
      <c r="K36" s="35"/>
      <c r="L36" s="21"/>
      <c r="M36" s="14"/>
    </row>
  </sheetData>
  <mergeCells count="37">
    <mergeCell ref="C11:I11"/>
    <mergeCell ref="C6:I6"/>
    <mergeCell ref="C7:I7"/>
    <mergeCell ref="C8:I8"/>
    <mergeCell ref="C9:I9"/>
    <mergeCell ref="C10:I10"/>
    <mergeCell ref="C5:J5"/>
    <mergeCell ref="B1:M1"/>
    <mergeCell ref="C2:E2"/>
    <mergeCell ref="G2:M2"/>
    <mergeCell ref="C3:E3"/>
    <mergeCell ref="G3:M3"/>
    <mergeCell ref="C22:I22"/>
    <mergeCell ref="C23:I23"/>
    <mergeCell ref="C24:I24"/>
    <mergeCell ref="C25:I25"/>
    <mergeCell ref="C36:I36"/>
    <mergeCell ref="C30:I30"/>
    <mergeCell ref="C31:I31"/>
    <mergeCell ref="C32:I32"/>
    <mergeCell ref="C33:I33"/>
    <mergeCell ref="C34:I34"/>
    <mergeCell ref="C35:I35"/>
    <mergeCell ref="C29:I29"/>
    <mergeCell ref="C26:I26"/>
    <mergeCell ref="C27:I27"/>
    <mergeCell ref="C28:I28"/>
    <mergeCell ref="C21:I21"/>
    <mergeCell ref="C12:I12"/>
    <mergeCell ref="C13:I13"/>
    <mergeCell ref="C14:I14"/>
    <mergeCell ref="C15:I15"/>
    <mergeCell ref="C16:I16"/>
    <mergeCell ref="C18:I18"/>
    <mergeCell ref="C19:I19"/>
    <mergeCell ref="C20:I20"/>
    <mergeCell ref="C17:I17"/>
  </mergeCells>
  <phoneticPr fontId="6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7004-A1BF-4460-BE35-EB4FC92457E6}">
  <dimension ref="A1:M36"/>
  <sheetViews>
    <sheetView topLeftCell="A6" zoomScale="115" workbookViewId="0">
      <selection activeCell="C36" sqref="C36:I36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6" max="6" width="11.7109375" bestFit="1" customWidth="1"/>
    <col min="9" max="9" width="34.42578125" customWidth="1"/>
    <col min="11" max="11" width="11.5703125" style="23" bestFit="1" customWidth="1"/>
    <col min="12" max="12" width="9.140625" style="23"/>
    <col min="13" max="13" width="11" bestFit="1" customWidth="1"/>
  </cols>
  <sheetData>
    <row r="1" spans="1:13" ht="18.75" x14ac:dyDescent="0.3">
      <c r="A1" s="18"/>
      <c r="B1" s="285" t="s">
        <v>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x14ac:dyDescent="0.25">
      <c r="A2" s="18"/>
      <c r="B2" s="79" t="s">
        <v>1</v>
      </c>
      <c r="C2" s="286" t="s">
        <v>34</v>
      </c>
      <c r="D2" s="286"/>
      <c r="E2" s="286"/>
      <c r="F2" s="79" t="s">
        <v>8</v>
      </c>
      <c r="G2" s="286" t="s">
        <v>35</v>
      </c>
      <c r="H2" s="286"/>
      <c r="I2" s="286"/>
      <c r="J2" s="286"/>
      <c r="K2" s="286"/>
      <c r="L2" s="286"/>
      <c r="M2" s="286"/>
    </row>
    <row r="3" spans="1:13" x14ac:dyDescent="0.25">
      <c r="A3" s="18"/>
      <c r="B3" s="79" t="s">
        <v>2</v>
      </c>
      <c r="C3" s="286" t="s">
        <v>36</v>
      </c>
      <c r="D3" s="286"/>
      <c r="E3" s="286"/>
      <c r="F3" s="79" t="s">
        <v>3</v>
      </c>
      <c r="G3" s="286" t="s">
        <v>13</v>
      </c>
      <c r="H3" s="286"/>
      <c r="I3" s="286"/>
      <c r="J3" s="286"/>
      <c r="K3" s="286"/>
      <c r="L3" s="286"/>
      <c r="M3" s="286"/>
    </row>
    <row r="4" spans="1:13" x14ac:dyDescent="0.25">
      <c r="A4" s="18"/>
      <c r="B4" s="80"/>
      <c r="C4" s="80"/>
      <c r="D4" s="80"/>
      <c r="E4" s="80"/>
      <c r="F4" s="80"/>
      <c r="G4" s="80"/>
      <c r="H4" s="80"/>
      <c r="I4" s="80"/>
      <c r="J4" s="80"/>
      <c r="K4" s="81"/>
      <c r="L4" s="82"/>
      <c r="M4" s="82"/>
    </row>
    <row r="5" spans="1:13" x14ac:dyDescent="0.25">
      <c r="A5" s="18"/>
      <c r="B5" s="83" t="s">
        <v>7</v>
      </c>
      <c r="C5" s="287" t="s">
        <v>4</v>
      </c>
      <c r="D5" s="287"/>
      <c r="E5" s="287"/>
      <c r="F5" s="287"/>
      <c r="G5" s="287"/>
      <c r="H5" s="287"/>
      <c r="I5" s="287"/>
      <c r="J5" s="287"/>
      <c r="K5" s="84" t="s">
        <v>5</v>
      </c>
      <c r="L5" s="85" t="s">
        <v>6</v>
      </c>
      <c r="M5" s="83"/>
    </row>
    <row r="6" spans="1:13" x14ac:dyDescent="0.25">
      <c r="A6" s="61" t="s">
        <v>69</v>
      </c>
      <c r="B6" s="96">
        <v>44835</v>
      </c>
      <c r="C6" s="283" t="s">
        <v>337</v>
      </c>
      <c r="D6" s="283"/>
      <c r="E6" s="283"/>
      <c r="F6" s="283"/>
      <c r="G6" s="283"/>
      <c r="H6" s="283"/>
      <c r="I6" s="283"/>
      <c r="J6" s="38"/>
      <c r="K6" s="40"/>
      <c r="L6" s="41"/>
      <c r="M6" s="49"/>
    </row>
    <row r="7" spans="1:13" x14ac:dyDescent="0.25">
      <c r="A7" s="61" t="s">
        <v>30</v>
      </c>
      <c r="B7" s="96">
        <v>44836</v>
      </c>
      <c r="C7" s="283" t="s">
        <v>30</v>
      </c>
      <c r="D7" s="283"/>
      <c r="E7" s="283"/>
      <c r="F7" s="283"/>
      <c r="G7" s="283"/>
      <c r="H7" s="283"/>
      <c r="I7" s="283"/>
      <c r="J7" s="38"/>
      <c r="K7" s="40"/>
      <c r="L7" s="41"/>
      <c r="M7" s="49"/>
    </row>
    <row r="8" spans="1:13" ht="15" customHeight="1" x14ac:dyDescent="0.25">
      <c r="A8" t="s">
        <v>64</v>
      </c>
      <c r="B8" s="95">
        <v>44837</v>
      </c>
      <c r="C8" s="194" t="s">
        <v>341</v>
      </c>
      <c r="D8" s="194"/>
      <c r="E8" s="194"/>
      <c r="F8" s="194"/>
      <c r="G8" s="194"/>
      <c r="H8" s="194"/>
      <c r="I8" s="194"/>
      <c r="J8" s="11"/>
      <c r="K8" s="35">
        <v>0.39583333333333331</v>
      </c>
      <c r="L8" s="21">
        <v>0.8125</v>
      </c>
      <c r="M8" s="14">
        <f t="shared" ref="M8:M9" si="0">L8-K8</f>
        <v>0.41666666666666669</v>
      </c>
    </row>
    <row r="9" spans="1:13" ht="15" customHeight="1" x14ac:dyDescent="0.25">
      <c r="A9" t="s">
        <v>65</v>
      </c>
      <c r="B9" s="95">
        <v>44838</v>
      </c>
      <c r="C9" s="194" t="s">
        <v>341</v>
      </c>
      <c r="D9" s="194"/>
      <c r="E9" s="194"/>
      <c r="F9" s="194"/>
      <c r="G9" s="194"/>
      <c r="H9" s="194"/>
      <c r="I9" s="194"/>
      <c r="J9" s="18"/>
      <c r="K9" s="35">
        <v>0.39583333333333331</v>
      </c>
      <c r="L9" s="21">
        <v>0.8125</v>
      </c>
      <c r="M9" s="14">
        <f t="shared" si="0"/>
        <v>0.41666666666666669</v>
      </c>
    </row>
    <row r="10" spans="1:13" ht="15" customHeight="1" x14ac:dyDescent="0.25">
      <c r="A10" t="s">
        <v>66</v>
      </c>
      <c r="B10" s="95">
        <v>44839</v>
      </c>
      <c r="C10" s="194" t="s">
        <v>340</v>
      </c>
      <c r="D10" s="194"/>
      <c r="E10" s="194"/>
      <c r="F10" s="194"/>
      <c r="G10" s="194"/>
      <c r="H10" s="194"/>
      <c r="I10" s="194"/>
      <c r="J10" s="18"/>
      <c r="K10" s="35">
        <v>0.39583333333333331</v>
      </c>
      <c r="L10" s="21">
        <v>0.79166666666666663</v>
      </c>
      <c r="M10" s="14">
        <f t="shared" ref="M10:M12" si="1">L10-K10</f>
        <v>0.39583333333333331</v>
      </c>
    </row>
    <row r="11" spans="1:13" x14ac:dyDescent="0.25">
      <c r="A11" t="s">
        <v>67</v>
      </c>
      <c r="B11" s="95">
        <v>44840</v>
      </c>
      <c r="C11" s="259" t="s">
        <v>347</v>
      </c>
      <c r="D11" s="259"/>
      <c r="E11" s="259"/>
      <c r="F11" s="259"/>
      <c r="G11" s="259"/>
      <c r="H11" s="259"/>
      <c r="I11" s="259"/>
      <c r="J11" s="18"/>
      <c r="K11" s="35">
        <v>0.39583333333333331</v>
      </c>
      <c r="L11" s="21">
        <v>0.79166666666666663</v>
      </c>
      <c r="M11" s="14">
        <f t="shared" si="1"/>
        <v>0.39583333333333331</v>
      </c>
    </row>
    <row r="12" spans="1:13" ht="15" customHeight="1" x14ac:dyDescent="0.25">
      <c r="A12" t="s">
        <v>68</v>
      </c>
      <c r="B12" s="95">
        <v>44841</v>
      </c>
      <c r="C12" s="221" t="s">
        <v>339</v>
      </c>
      <c r="D12" s="222"/>
      <c r="E12" s="222"/>
      <c r="F12" s="222"/>
      <c r="G12" s="222"/>
      <c r="H12" s="222"/>
      <c r="I12" s="223"/>
      <c r="J12" s="77"/>
      <c r="K12" s="35">
        <v>0.40625</v>
      </c>
      <c r="L12" s="21">
        <v>0.79166666666666663</v>
      </c>
      <c r="M12" s="14">
        <f t="shared" si="1"/>
        <v>0.38541666666666663</v>
      </c>
    </row>
    <row r="13" spans="1:13" x14ac:dyDescent="0.25">
      <c r="A13" s="61" t="s">
        <v>69</v>
      </c>
      <c r="B13" s="96">
        <v>44842</v>
      </c>
      <c r="C13" s="325" t="s">
        <v>338</v>
      </c>
      <c r="D13" s="326"/>
      <c r="E13" s="326"/>
      <c r="F13" s="326"/>
      <c r="G13" s="326"/>
      <c r="H13" s="326"/>
      <c r="I13" s="327"/>
      <c r="J13" s="78"/>
      <c r="K13" s="40"/>
      <c r="L13" s="41"/>
      <c r="M13" s="49"/>
    </row>
    <row r="14" spans="1:13" x14ac:dyDescent="0.25">
      <c r="A14" s="61" t="s">
        <v>30</v>
      </c>
      <c r="B14" s="96">
        <v>44843</v>
      </c>
      <c r="C14" s="288" t="s">
        <v>30</v>
      </c>
      <c r="D14" s="289"/>
      <c r="E14" s="289"/>
      <c r="F14" s="289"/>
      <c r="G14" s="289"/>
      <c r="H14" s="289"/>
      <c r="I14" s="290"/>
      <c r="J14" s="78"/>
      <c r="K14" s="40"/>
      <c r="L14" s="41"/>
      <c r="M14" s="49"/>
    </row>
    <row r="15" spans="1:13" ht="15" customHeight="1" x14ac:dyDescent="0.25">
      <c r="A15" t="s">
        <v>64</v>
      </c>
      <c r="B15" s="95">
        <v>44844</v>
      </c>
      <c r="C15" s="312" t="s">
        <v>343</v>
      </c>
      <c r="D15" s="313"/>
      <c r="E15" s="313"/>
      <c r="F15" s="313"/>
      <c r="G15" s="313"/>
      <c r="H15" s="313"/>
      <c r="I15" s="314"/>
      <c r="J15" s="77"/>
      <c r="K15" s="35">
        <v>0.39583333333333331</v>
      </c>
      <c r="L15" s="21">
        <v>0.79166666666666663</v>
      </c>
      <c r="M15" s="14">
        <f t="shared" ref="M15:M19" si="2">L15-K15</f>
        <v>0.39583333333333331</v>
      </c>
    </row>
    <row r="16" spans="1:13" x14ac:dyDescent="0.25">
      <c r="A16" t="s">
        <v>65</v>
      </c>
      <c r="B16" s="95">
        <v>44845</v>
      </c>
      <c r="C16" s="259" t="s">
        <v>344</v>
      </c>
      <c r="D16" s="259"/>
      <c r="E16" s="259"/>
      <c r="F16" s="259"/>
      <c r="G16" s="259"/>
      <c r="H16" s="259"/>
      <c r="I16" s="259"/>
      <c r="J16" s="18"/>
      <c r="K16" s="35">
        <v>0.39583333333333331</v>
      </c>
      <c r="L16" s="21">
        <v>0.79166666666666663</v>
      </c>
      <c r="M16" s="14">
        <f t="shared" si="2"/>
        <v>0.39583333333333331</v>
      </c>
    </row>
    <row r="17" spans="1:13" ht="15" customHeight="1" x14ac:dyDescent="0.25">
      <c r="A17" t="s">
        <v>66</v>
      </c>
      <c r="B17" s="95">
        <v>44846</v>
      </c>
      <c r="C17" s="259" t="s">
        <v>344</v>
      </c>
      <c r="D17" s="259"/>
      <c r="E17" s="259"/>
      <c r="F17" s="259"/>
      <c r="G17" s="259"/>
      <c r="H17" s="259"/>
      <c r="I17" s="259"/>
      <c r="J17" s="18"/>
      <c r="K17" s="35">
        <v>0.39583333333333331</v>
      </c>
      <c r="L17" s="21">
        <v>0.79166666666666663</v>
      </c>
      <c r="M17" s="14">
        <f t="shared" si="2"/>
        <v>0.39583333333333331</v>
      </c>
    </row>
    <row r="18" spans="1:13" ht="15" customHeight="1" x14ac:dyDescent="0.25">
      <c r="A18" t="s">
        <v>67</v>
      </c>
      <c r="B18" s="95">
        <v>44847</v>
      </c>
      <c r="C18" s="259" t="s">
        <v>345</v>
      </c>
      <c r="D18" s="259"/>
      <c r="E18" s="259"/>
      <c r="F18" s="259"/>
      <c r="G18" s="259"/>
      <c r="H18" s="259"/>
      <c r="I18" s="259"/>
      <c r="J18" s="51"/>
      <c r="K18" s="35">
        <v>0.39583333333333331</v>
      </c>
      <c r="L18" s="21">
        <v>0.79166666666666663</v>
      </c>
      <c r="M18" s="14">
        <f t="shared" si="2"/>
        <v>0.39583333333333331</v>
      </c>
    </row>
    <row r="19" spans="1:13" ht="27" customHeight="1" x14ac:dyDescent="0.25">
      <c r="A19" t="s">
        <v>68</v>
      </c>
      <c r="B19" s="95">
        <v>44848</v>
      </c>
      <c r="C19" s="259" t="s">
        <v>346</v>
      </c>
      <c r="D19" s="259"/>
      <c r="E19" s="259"/>
      <c r="F19" s="259"/>
      <c r="G19" s="259"/>
      <c r="H19" s="259"/>
      <c r="I19" s="259"/>
      <c r="J19" s="77"/>
      <c r="K19" s="97">
        <v>0.39583333333333331</v>
      </c>
      <c r="L19" s="21">
        <v>0.79166666666666663</v>
      </c>
      <c r="M19" s="16">
        <f t="shared" si="2"/>
        <v>0.39583333333333331</v>
      </c>
    </row>
    <row r="20" spans="1:13" ht="15" customHeight="1" x14ac:dyDescent="0.25">
      <c r="A20" s="61" t="s">
        <v>69</v>
      </c>
      <c r="B20" s="96">
        <v>44849</v>
      </c>
      <c r="C20" s="284" t="s">
        <v>342</v>
      </c>
      <c r="D20" s="284"/>
      <c r="E20" s="284"/>
      <c r="F20" s="284"/>
      <c r="G20" s="284"/>
      <c r="H20" s="284"/>
      <c r="I20" s="284"/>
      <c r="J20" s="78"/>
      <c r="K20" s="40"/>
      <c r="L20" s="41"/>
      <c r="M20" s="49"/>
    </row>
    <row r="21" spans="1:13" ht="15" customHeight="1" x14ac:dyDescent="0.25">
      <c r="A21" s="61" t="s">
        <v>30</v>
      </c>
      <c r="B21" s="96">
        <v>44850</v>
      </c>
      <c r="C21" s="284" t="s">
        <v>30</v>
      </c>
      <c r="D21" s="284"/>
      <c r="E21" s="284"/>
      <c r="F21" s="284"/>
      <c r="G21" s="284"/>
      <c r="H21" s="284"/>
      <c r="I21" s="284"/>
      <c r="J21" s="42"/>
      <c r="K21" s="40"/>
      <c r="L21" s="41"/>
      <c r="M21" s="49"/>
    </row>
    <row r="22" spans="1:13" x14ac:dyDescent="0.25">
      <c r="A22" t="s">
        <v>64</v>
      </c>
      <c r="B22" s="95">
        <v>44851</v>
      </c>
      <c r="C22" s="259" t="s">
        <v>355</v>
      </c>
      <c r="D22" s="259"/>
      <c r="E22" s="259"/>
      <c r="F22" s="259"/>
      <c r="G22" s="259"/>
      <c r="H22" s="259"/>
      <c r="I22" s="259"/>
      <c r="J22" s="18"/>
      <c r="K22" s="35">
        <v>0.39583333333333331</v>
      </c>
      <c r="L22" s="21">
        <v>0.79166666666666663</v>
      </c>
      <c r="M22" s="14">
        <f t="shared" ref="M22:M26" si="3">L22-K22</f>
        <v>0.39583333333333331</v>
      </c>
    </row>
    <row r="23" spans="1:13" x14ac:dyDescent="0.25">
      <c r="A23" t="s">
        <v>65</v>
      </c>
      <c r="B23" s="95">
        <v>44852</v>
      </c>
      <c r="C23" s="259" t="s">
        <v>354</v>
      </c>
      <c r="D23" s="259"/>
      <c r="E23" s="259"/>
      <c r="F23" s="259"/>
      <c r="G23" s="259"/>
      <c r="H23" s="259"/>
      <c r="I23" s="259"/>
      <c r="J23" s="18"/>
      <c r="K23" s="35">
        <v>0.39583333333333331</v>
      </c>
      <c r="L23" s="21">
        <v>0.79166666666666663</v>
      </c>
      <c r="M23" s="14">
        <f t="shared" si="3"/>
        <v>0.39583333333333331</v>
      </c>
    </row>
    <row r="24" spans="1:13" x14ac:dyDescent="0.25">
      <c r="A24" t="s">
        <v>66</v>
      </c>
      <c r="B24" s="95">
        <v>44853</v>
      </c>
      <c r="C24" s="259" t="s">
        <v>353</v>
      </c>
      <c r="D24" s="259"/>
      <c r="E24" s="259"/>
      <c r="F24" s="259"/>
      <c r="G24" s="259"/>
      <c r="H24" s="259"/>
      <c r="I24" s="259"/>
      <c r="J24" s="18"/>
      <c r="K24" s="35">
        <v>0.39583333333333331</v>
      </c>
      <c r="L24" s="21">
        <v>0.79166666666666663</v>
      </c>
      <c r="M24" s="14">
        <f t="shared" si="3"/>
        <v>0.39583333333333331</v>
      </c>
    </row>
    <row r="25" spans="1:13" x14ac:dyDescent="0.25">
      <c r="A25" t="s">
        <v>67</v>
      </c>
      <c r="B25" s="95">
        <v>44854</v>
      </c>
      <c r="C25" s="259" t="s">
        <v>352</v>
      </c>
      <c r="D25" s="259"/>
      <c r="E25" s="259"/>
      <c r="F25" s="259"/>
      <c r="G25" s="259"/>
      <c r="H25" s="259"/>
      <c r="I25" s="259"/>
      <c r="J25" s="18"/>
      <c r="K25" s="35">
        <v>0.39583333333333331</v>
      </c>
      <c r="L25" s="21">
        <v>0.79166666666666663</v>
      </c>
      <c r="M25" s="14">
        <f t="shared" si="3"/>
        <v>0.39583333333333331</v>
      </c>
    </row>
    <row r="26" spans="1:13" x14ac:dyDescent="0.25">
      <c r="A26" t="s">
        <v>68</v>
      </c>
      <c r="B26" s="95">
        <v>44855</v>
      </c>
      <c r="C26" s="194" t="s">
        <v>351</v>
      </c>
      <c r="D26" s="194"/>
      <c r="E26" s="194"/>
      <c r="F26" s="194"/>
      <c r="G26" s="194"/>
      <c r="H26" s="194"/>
      <c r="I26" s="194"/>
      <c r="J26" s="37"/>
      <c r="K26" s="35">
        <v>0.39583333333333331</v>
      </c>
      <c r="L26" s="21">
        <v>0.79166666666666663</v>
      </c>
      <c r="M26" s="14">
        <f t="shared" si="3"/>
        <v>0.39583333333333331</v>
      </c>
    </row>
    <row r="27" spans="1:13" x14ac:dyDescent="0.25">
      <c r="A27" s="61" t="s">
        <v>69</v>
      </c>
      <c r="B27" s="96">
        <v>44856</v>
      </c>
      <c r="C27" s="279" t="s">
        <v>348</v>
      </c>
      <c r="D27" s="279"/>
      <c r="E27" s="279"/>
      <c r="F27" s="279"/>
      <c r="G27" s="279"/>
      <c r="H27" s="279"/>
      <c r="I27" s="279"/>
      <c r="J27" s="44"/>
      <c r="K27" s="40"/>
      <c r="L27" s="41"/>
      <c r="M27" s="49"/>
    </row>
    <row r="28" spans="1:13" x14ac:dyDescent="0.25">
      <c r="A28" s="61" t="s">
        <v>30</v>
      </c>
      <c r="B28" s="96">
        <v>44857</v>
      </c>
      <c r="C28" s="279" t="s">
        <v>349</v>
      </c>
      <c r="D28" s="279"/>
      <c r="E28" s="279"/>
      <c r="F28" s="279"/>
      <c r="G28" s="279"/>
      <c r="H28" s="279"/>
      <c r="I28" s="279"/>
      <c r="J28" s="44"/>
      <c r="K28" s="40"/>
      <c r="L28" s="41"/>
      <c r="M28" s="49"/>
    </row>
    <row r="29" spans="1:13" x14ac:dyDescent="0.25">
      <c r="A29" s="61" t="s">
        <v>64</v>
      </c>
      <c r="B29" s="96">
        <v>44858</v>
      </c>
      <c r="C29" s="306" t="s">
        <v>350</v>
      </c>
      <c r="D29" s="307"/>
      <c r="E29" s="307"/>
      <c r="F29" s="307"/>
      <c r="G29" s="307"/>
      <c r="H29" s="307"/>
      <c r="I29" s="308"/>
      <c r="J29" s="44"/>
      <c r="K29" s="40"/>
      <c r="L29" s="41"/>
      <c r="M29" s="49"/>
    </row>
    <row r="30" spans="1:13" ht="15" customHeight="1" x14ac:dyDescent="0.25">
      <c r="A30" t="s">
        <v>65</v>
      </c>
      <c r="B30" s="95">
        <v>44859</v>
      </c>
      <c r="C30" s="312" t="s">
        <v>358</v>
      </c>
      <c r="D30" s="313"/>
      <c r="E30" s="313"/>
      <c r="F30" s="313"/>
      <c r="G30" s="313"/>
      <c r="H30" s="313"/>
      <c r="I30" s="314"/>
      <c r="J30" s="18"/>
      <c r="K30" s="35">
        <v>0.39583333333333331</v>
      </c>
      <c r="L30" s="21">
        <v>0.8125</v>
      </c>
      <c r="M30" s="14">
        <f t="shared" ref="M30" si="4">L30-K30</f>
        <v>0.41666666666666669</v>
      </c>
    </row>
    <row r="31" spans="1:13" x14ac:dyDescent="0.25">
      <c r="A31" t="s">
        <v>66</v>
      </c>
      <c r="B31" s="95">
        <v>44860</v>
      </c>
      <c r="C31" s="259" t="s">
        <v>356</v>
      </c>
      <c r="D31" s="259"/>
      <c r="E31" s="259"/>
      <c r="F31" s="259"/>
      <c r="G31" s="259"/>
      <c r="H31" s="259"/>
      <c r="I31" s="259"/>
      <c r="J31" s="18"/>
      <c r="K31" s="35">
        <v>0.39583333333333331</v>
      </c>
      <c r="L31" s="21">
        <v>0.8125</v>
      </c>
      <c r="M31" s="14">
        <f t="shared" ref="M31:M33" si="5">L31-K31</f>
        <v>0.41666666666666669</v>
      </c>
    </row>
    <row r="32" spans="1:13" x14ac:dyDescent="0.25">
      <c r="A32" t="s">
        <v>67</v>
      </c>
      <c r="B32" s="95">
        <v>44861</v>
      </c>
      <c r="C32" s="259" t="s">
        <v>357</v>
      </c>
      <c r="D32" s="259"/>
      <c r="E32" s="259"/>
      <c r="F32" s="259"/>
      <c r="G32" s="259"/>
      <c r="H32" s="259"/>
      <c r="I32" s="259"/>
      <c r="J32" s="18"/>
      <c r="K32" s="35">
        <v>0.39583333333333331</v>
      </c>
      <c r="L32" s="21">
        <v>0.8125</v>
      </c>
      <c r="M32" s="14">
        <f t="shared" si="5"/>
        <v>0.41666666666666669</v>
      </c>
    </row>
    <row r="33" spans="1:13" x14ac:dyDescent="0.25">
      <c r="A33" t="s">
        <v>68</v>
      </c>
      <c r="B33" s="95">
        <v>44862</v>
      </c>
      <c r="C33" s="194" t="s">
        <v>360</v>
      </c>
      <c r="D33" s="194"/>
      <c r="E33" s="194"/>
      <c r="F33" s="194"/>
      <c r="G33" s="194"/>
      <c r="H33" s="194"/>
      <c r="I33" s="194"/>
      <c r="J33" s="18"/>
      <c r="K33" s="35">
        <v>0.39583333333333331</v>
      </c>
      <c r="L33" s="21">
        <v>0.8125</v>
      </c>
      <c r="M33" s="14">
        <f t="shared" si="5"/>
        <v>0.41666666666666669</v>
      </c>
    </row>
    <row r="34" spans="1:13" x14ac:dyDescent="0.25">
      <c r="A34" s="61" t="s">
        <v>69</v>
      </c>
      <c r="B34" s="96">
        <v>44863</v>
      </c>
      <c r="C34" s="279" t="s">
        <v>69</v>
      </c>
      <c r="D34" s="279"/>
      <c r="E34" s="279"/>
      <c r="F34" s="279"/>
      <c r="G34" s="279"/>
      <c r="H34" s="279"/>
      <c r="I34" s="279"/>
      <c r="J34" s="42"/>
      <c r="K34" s="40"/>
      <c r="L34" s="41"/>
      <c r="M34" s="49"/>
    </row>
    <row r="35" spans="1:13" x14ac:dyDescent="0.25">
      <c r="A35" s="61" t="s">
        <v>30</v>
      </c>
      <c r="B35" s="96">
        <v>44864</v>
      </c>
      <c r="C35" s="279" t="s">
        <v>30</v>
      </c>
      <c r="D35" s="279"/>
      <c r="E35" s="279"/>
      <c r="F35" s="279"/>
      <c r="G35" s="279"/>
      <c r="H35" s="279"/>
      <c r="I35" s="279"/>
      <c r="J35" s="42"/>
      <c r="K35" s="40"/>
      <c r="L35" s="41"/>
      <c r="M35" s="49"/>
    </row>
    <row r="36" spans="1:13" x14ac:dyDescent="0.25">
      <c r="A36" s="18" t="s">
        <v>64</v>
      </c>
      <c r="B36" s="95">
        <v>44865</v>
      </c>
      <c r="C36" s="194" t="s">
        <v>359</v>
      </c>
      <c r="D36" s="194"/>
      <c r="E36" s="194"/>
      <c r="F36" s="194"/>
      <c r="G36" s="194"/>
      <c r="H36" s="194"/>
      <c r="I36" s="194"/>
      <c r="J36" s="18"/>
      <c r="K36" s="35">
        <v>0.39583333333333331</v>
      </c>
      <c r="L36" s="21">
        <v>0.79166666666666663</v>
      </c>
      <c r="M36" s="14">
        <f t="shared" ref="M36" si="6">L36-K36</f>
        <v>0.39583333333333331</v>
      </c>
    </row>
  </sheetData>
  <mergeCells count="37">
    <mergeCell ref="C5:J5"/>
    <mergeCell ref="B1:M1"/>
    <mergeCell ref="C2:E2"/>
    <mergeCell ref="G2:M2"/>
    <mergeCell ref="C3:E3"/>
    <mergeCell ref="G3:M3"/>
    <mergeCell ref="C17:I17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29:I29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36:I36"/>
    <mergeCell ref="C30:I30"/>
    <mergeCell ref="C31:I31"/>
    <mergeCell ref="C32:I32"/>
    <mergeCell ref="C33:I33"/>
    <mergeCell ref="C34:I34"/>
    <mergeCell ref="C35:I35"/>
  </mergeCells>
  <phoneticPr fontId="6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8E2A-9669-4C16-B6A7-8046732EB1AF}">
  <dimension ref="A1:M36"/>
  <sheetViews>
    <sheetView topLeftCell="A8" zoomScale="115" workbookViewId="0">
      <selection activeCell="C36" sqref="C36:I36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6" max="6" width="11.7109375" bestFit="1" customWidth="1"/>
    <col min="9" max="9" width="34.42578125" customWidth="1"/>
    <col min="11" max="11" width="11.5703125" style="23" bestFit="1" customWidth="1"/>
    <col min="12" max="12" width="9.140625" style="23"/>
    <col min="13" max="13" width="11" bestFit="1" customWidth="1"/>
  </cols>
  <sheetData>
    <row r="1" spans="1:13" ht="18.75" x14ac:dyDescent="0.3">
      <c r="A1" s="18"/>
      <c r="B1" s="285" t="s">
        <v>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x14ac:dyDescent="0.25">
      <c r="A2" s="18"/>
      <c r="B2" s="79" t="s">
        <v>1</v>
      </c>
      <c r="C2" s="286" t="s">
        <v>34</v>
      </c>
      <c r="D2" s="286"/>
      <c r="E2" s="286"/>
      <c r="F2" s="79" t="s">
        <v>8</v>
      </c>
      <c r="G2" s="286" t="s">
        <v>35</v>
      </c>
      <c r="H2" s="286"/>
      <c r="I2" s="286"/>
      <c r="J2" s="286"/>
      <c r="K2" s="286"/>
      <c r="L2" s="286"/>
      <c r="M2" s="286"/>
    </row>
    <row r="3" spans="1:13" x14ac:dyDescent="0.25">
      <c r="A3" s="18"/>
      <c r="B3" s="79" t="s">
        <v>2</v>
      </c>
      <c r="C3" s="286" t="s">
        <v>36</v>
      </c>
      <c r="D3" s="286"/>
      <c r="E3" s="286"/>
      <c r="F3" s="79" t="s">
        <v>3</v>
      </c>
      <c r="G3" s="286" t="s">
        <v>13</v>
      </c>
      <c r="H3" s="286"/>
      <c r="I3" s="286"/>
      <c r="J3" s="286"/>
      <c r="K3" s="286"/>
      <c r="L3" s="286"/>
      <c r="M3" s="286"/>
    </row>
    <row r="4" spans="1:13" x14ac:dyDescent="0.25">
      <c r="A4" s="18"/>
      <c r="B4" s="80"/>
      <c r="C4" s="80"/>
      <c r="D4" s="80"/>
      <c r="E4" s="80"/>
      <c r="F4" s="80"/>
      <c r="G4" s="80"/>
      <c r="H4" s="80"/>
      <c r="I4" s="80"/>
      <c r="J4" s="80"/>
      <c r="K4" s="81"/>
      <c r="L4" s="82"/>
      <c r="M4" s="82"/>
    </row>
    <row r="5" spans="1:13" x14ac:dyDescent="0.25">
      <c r="A5" s="18"/>
      <c r="B5" s="83" t="s">
        <v>7</v>
      </c>
      <c r="C5" s="287" t="s">
        <v>4</v>
      </c>
      <c r="D5" s="287"/>
      <c r="E5" s="287"/>
      <c r="F5" s="287"/>
      <c r="G5" s="287"/>
      <c r="H5" s="287"/>
      <c r="I5" s="287"/>
      <c r="J5" s="287"/>
      <c r="K5" s="84" t="s">
        <v>5</v>
      </c>
      <c r="L5" s="85" t="s">
        <v>6</v>
      </c>
      <c r="M5" s="83"/>
    </row>
    <row r="6" spans="1:13" x14ac:dyDescent="0.25">
      <c r="A6" t="s">
        <v>67</v>
      </c>
      <c r="B6" s="95">
        <v>44805</v>
      </c>
      <c r="C6" s="282" t="s">
        <v>320</v>
      </c>
      <c r="D6" s="282"/>
      <c r="E6" s="282"/>
      <c r="F6" s="282"/>
      <c r="G6" s="282"/>
      <c r="H6" s="282"/>
      <c r="I6" s="282"/>
      <c r="J6" s="11"/>
      <c r="K6" s="35">
        <v>0.39583333333333331</v>
      </c>
      <c r="L6" s="21">
        <v>0.8125</v>
      </c>
      <c r="M6" s="14">
        <f t="shared" ref="M6:M7" si="0">L6-K6</f>
        <v>0.41666666666666669</v>
      </c>
    </row>
    <row r="7" spans="1:13" x14ac:dyDescent="0.25">
      <c r="A7" t="s">
        <v>68</v>
      </c>
      <c r="B7" s="95">
        <v>44806</v>
      </c>
      <c r="C7" s="282" t="s">
        <v>320</v>
      </c>
      <c r="D7" s="282"/>
      <c r="E7" s="282"/>
      <c r="F7" s="282"/>
      <c r="G7" s="282"/>
      <c r="H7" s="282"/>
      <c r="I7" s="282"/>
      <c r="J7" s="11"/>
      <c r="K7" s="35">
        <v>0.39583333333333331</v>
      </c>
      <c r="L7" s="21">
        <v>0.8125</v>
      </c>
      <c r="M7" s="14">
        <f t="shared" si="0"/>
        <v>0.41666666666666669</v>
      </c>
    </row>
    <row r="8" spans="1:13" ht="15" customHeight="1" x14ac:dyDescent="0.25">
      <c r="A8" s="61" t="s">
        <v>69</v>
      </c>
      <c r="B8" s="96">
        <v>44807</v>
      </c>
      <c r="C8" s="325" t="s">
        <v>69</v>
      </c>
      <c r="D8" s="326"/>
      <c r="E8" s="326"/>
      <c r="F8" s="326"/>
      <c r="G8" s="326"/>
      <c r="H8" s="326"/>
      <c r="I8" s="327"/>
      <c r="J8" s="38"/>
      <c r="K8" s="40"/>
      <c r="L8" s="41"/>
      <c r="M8" s="49"/>
    </row>
    <row r="9" spans="1:13" ht="15" customHeight="1" x14ac:dyDescent="0.25">
      <c r="A9" s="61" t="s">
        <v>30</v>
      </c>
      <c r="B9" s="96">
        <v>44808</v>
      </c>
      <c r="C9" s="279" t="s">
        <v>30</v>
      </c>
      <c r="D9" s="279"/>
      <c r="E9" s="279"/>
      <c r="F9" s="279"/>
      <c r="G9" s="279"/>
      <c r="H9" s="279"/>
      <c r="I9" s="279"/>
      <c r="J9" s="42"/>
      <c r="K9" s="40"/>
      <c r="L9" s="41"/>
      <c r="M9" s="49"/>
    </row>
    <row r="10" spans="1:13" ht="15" customHeight="1" x14ac:dyDescent="0.25">
      <c r="A10" t="s">
        <v>64</v>
      </c>
      <c r="B10" s="95">
        <v>44809</v>
      </c>
      <c r="C10" s="194" t="s">
        <v>320</v>
      </c>
      <c r="D10" s="194"/>
      <c r="E10" s="194"/>
      <c r="F10" s="194"/>
      <c r="G10" s="194"/>
      <c r="H10" s="194"/>
      <c r="I10" s="194"/>
      <c r="J10" s="18"/>
      <c r="K10" s="35">
        <v>0.39583333333333331</v>
      </c>
      <c r="L10" s="21">
        <v>0.79166666666666663</v>
      </c>
      <c r="M10" s="14">
        <f t="shared" ref="M10:M11" si="1">L10-K10</f>
        <v>0.39583333333333331</v>
      </c>
    </row>
    <row r="11" spans="1:13" x14ac:dyDescent="0.25">
      <c r="A11" t="s">
        <v>65</v>
      </c>
      <c r="B11" s="95">
        <v>44810</v>
      </c>
      <c r="C11" s="259" t="s">
        <v>321</v>
      </c>
      <c r="D11" s="259"/>
      <c r="E11" s="259"/>
      <c r="F11" s="259"/>
      <c r="G11" s="259"/>
      <c r="H11" s="259"/>
      <c r="I11" s="259"/>
      <c r="J11" s="18"/>
      <c r="K11" s="35">
        <v>0.39583333333333331</v>
      </c>
      <c r="L11" s="21">
        <v>0.79166666666666663</v>
      </c>
      <c r="M11" s="14">
        <f t="shared" si="1"/>
        <v>0.39583333333333331</v>
      </c>
    </row>
    <row r="12" spans="1:13" ht="15" customHeight="1" x14ac:dyDescent="0.25">
      <c r="A12" t="s">
        <v>66</v>
      </c>
      <c r="B12" s="95">
        <v>44811</v>
      </c>
      <c r="C12" s="221" t="s">
        <v>322</v>
      </c>
      <c r="D12" s="222"/>
      <c r="E12" s="222"/>
      <c r="F12" s="222"/>
      <c r="G12" s="222"/>
      <c r="H12" s="222"/>
      <c r="I12" s="223"/>
      <c r="J12" s="77"/>
      <c r="K12" s="35">
        <v>0.40625</v>
      </c>
      <c r="L12" s="21">
        <v>0.79166666666666663</v>
      </c>
      <c r="M12" s="14">
        <f t="shared" ref="M12:M14" si="2">L12-K12</f>
        <v>0.38541666666666663</v>
      </c>
    </row>
    <row r="13" spans="1:13" x14ac:dyDescent="0.25">
      <c r="A13" t="s">
        <v>67</v>
      </c>
      <c r="B13" s="95">
        <v>44812</v>
      </c>
      <c r="C13" s="221" t="s">
        <v>323</v>
      </c>
      <c r="D13" s="222"/>
      <c r="E13" s="222"/>
      <c r="F13" s="222"/>
      <c r="G13" s="222"/>
      <c r="H13" s="222"/>
      <c r="I13" s="223"/>
      <c r="J13" s="77"/>
      <c r="K13" s="35">
        <v>0.40625</v>
      </c>
      <c r="L13" s="21">
        <v>0.79166666666666663</v>
      </c>
      <c r="M13" s="14">
        <f t="shared" si="2"/>
        <v>0.38541666666666663</v>
      </c>
    </row>
    <row r="14" spans="1:13" x14ac:dyDescent="0.25">
      <c r="A14" t="s">
        <v>68</v>
      </c>
      <c r="B14" s="95">
        <v>44813</v>
      </c>
      <c r="C14" s="291" t="s">
        <v>324</v>
      </c>
      <c r="D14" s="292"/>
      <c r="E14" s="292"/>
      <c r="F14" s="292"/>
      <c r="G14" s="292"/>
      <c r="H14" s="292"/>
      <c r="I14" s="293"/>
      <c r="J14" s="77"/>
      <c r="K14" s="35">
        <v>0.40625</v>
      </c>
      <c r="L14" s="21">
        <v>0.79166666666666663</v>
      </c>
      <c r="M14" s="14">
        <f t="shared" si="2"/>
        <v>0.38541666666666663</v>
      </c>
    </row>
    <row r="15" spans="1:13" ht="15" customHeight="1" x14ac:dyDescent="0.25">
      <c r="A15" s="61" t="s">
        <v>69</v>
      </c>
      <c r="B15" s="96">
        <v>44814</v>
      </c>
      <c r="C15" s="306"/>
      <c r="D15" s="307"/>
      <c r="E15" s="307"/>
      <c r="F15" s="307"/>
      <c r="G15" s="307"/>
      <c r="H15" s="307"/>
      <c r="I15" s="308"/>
      <c r="J15" s="78"/>
      <c r="K15" s="40"/>
      <c r="L15" s="41"/>
      <c r="M15" s="49"/>
    </row>
    <row r="16" spans="1:13" x14ac:dyDescent="0.25">
      <c r="A16" s="61" t="s">
        <v>30</v>
      </c>
      <c r="B16" s="96">
        <v>44815</v>
      </c>
      <c r="C16" s="328"/>
      <c r="D16" s="310"/>
      <c r="E16" s="310"/>
      <c r="F16" s="310"/>
      <c r="G16" s="310"/>
      <c r="H16" s="310"/>
      <c r="I16" s="311"/>
      <c r="J16" s="42"/>
      <c r="K16" s="40"/>
      <c r="L16" s="41"/>
      <c r="M16" s="49"/>
    </row>
    <row r="17" spans="1:13" x14ac:dyDescent="0.25">
      <c r="A17" t="s">
        <v>64</v>
      </c>
      <c r="B17" s="95">
        <v>44816</v>
      </c>
      <c r="C17" s="259" t="s">
        <v>325</v>
      </c>
      <c r="D17" s="259"/>
      <c r="E17" s="259"/>
      <c r="F17" s="259"/>
      <c r="G17" s="259"/>
      <c r="H17" s="259"/>
      <c r="I17" s="259"/>
      <c r="J17" s="18"/>
      <c r="K17" s="35">
        <v>0.39583333333333331</v>
      </c>
      <c r="L17" s="21">
        <v>0.79166666666666663</v>
      </c>
      <c r="M17" s="14">
        <f t="shared" ref="M17" si="3">L17-K17</f>
        <v>0.39583333333333331</v>
      </c>
    </row>
    <row r="18" spans="1:13" ht="15" customHeight="1" x14ac:dyDescent="0.25">
      <c r="A18" t="s">
        <v>65</v>
      </c>
      <c r="B18" s="95">
        <v>44817</v>
      </c>
      <c r="C18" s="259" t="s">
        <v>327</v>
      </c>
      <c r="D18" s="259"/>
      <c r="E18" s="259"/>
      <c r="F18" s="259"/>
      <c r="G18" s="259"/>
      <c r="H18" s="259"/>
      <c r="I18" s="259"/>
      <c r="J18" s="51"/>
      <c r="K18" s="35">
        <v>0.39583333333333331</v>
      </c>
      <c r="L18" s="21">
        <v>0.79166666666666663</v>
      </c>
      <c r="M18" s="14">
        <f t="shared" ref="M18:M21" si="4">L18-K18</f>
        <v>0.39583333333333331</v>
      </c>
    </row>
    <row r="19" spans="1:13" ht="15" customHeight="1" x14ac:dyDescent="0.25">
      <c r="A19" t="s">
        <v>66</v>
      </c>
      <c r="B19" s="95">
        <v>44818</v>
      </c>
      <c r="C19" s="259" t="s">
        <v>327</v>
      </c>
      <c r="D19" s="259"/>
      <c r="E19" s="259"/>
      <c r="F19" s="259"/>
      <c r="G19" s="259"/>
      <c r="H19" s="259"/>
      <c r="I19" s="259"/>
      <c r="J19" s="77"/>
      <c r="K19" s="35">
        <v>0.39930555555555558</v>
      </c>
      <c r="L19" s="21">
        <v>0.79166666666666663</v>
      </c>
      <c r="M19" s="14">
        <f t="shared" si="4"/>
        <v>0.39236111111111105</v>
      </c>
    </row>
    <row r="20" spans="1:13" ht="15" customHeight="1" x14ac:dyDescent="0.25">
      <c r="A20" t="s">
        <v>67</v>
      </c>
      <c r="B20" s="95">
        <v>44819</v>
      </c>
      <c r="C20" s="259" t="s">
        <v>327</v>
      </c>
      <c r="D20" s="259"/>
      <c r="E20" s="259"/>
      <c r="F20" s="259"/>
      <c r="G20" s="259"/>
      <c r="H20" s="259"/>
      <c r="I20" s="259"/>
      <c r="J20" s="77"/>
      <c r="K20" s="35">
        <v>0.40277777777777773</v>
      </c>
      <c r="L20" s="21">
        <v>0.79166666666666663</v>
      </c>
      <c r="M20" s="14">
        <f t="shared" si="4"/>
        <v>0.3888888888888889</v>
      </c>
    </row>
    <row r="21" spans="1:13" ht="15" customHeight="1" x14ac:dyDescent="0.25">
      <c r="A21" t="s">
        <v>68</v>
      </c>
      <c r="B21" s="95">
        <v>44820</v>
      </c>
      <c r="C21" s="259" t="s">
        <v>326</v>
      </c>
      <c r="D21" s="259"/>
      <c r="E21" s="259"/>
      <c r="F21" s="259"/>
      <c r="G21" s="259"/>
      <c r="H21" s="259"/>
      <c r="I21" s="259"/>
      <c r="J21" s="18"/>
      <c r="K21" s="35">
        <v>0.39583333333333331</v>
      </c>
      <c r="L21" s="21">
        <v>0.79166666666666663</v>
      </c>
      <c r="M21" s="14">
        <f t="shared" si="4"/>
        <v>0.39583333333333331</v>
      </c>
    </row>
    <row r="22" spans="1:13" x14ac:dyDescent="0.25">
      <c r="A22" s="61" t="s">
        <v>69</v>
      </c>
      <c r="B22" s="96">
        <v>44821</v>
      </c>
      <c r="C22" s="284" t="s">
        <v>328</v>
      </c>
      <c r="D22" s="284"/>
      <c r="E22" s="284"/>
      <c r="F22" s="284"/>
      <c r="G22" s="284"/>
      <c r="H22" s="284"/>
      <c r="I22" s="284"/>
      <c r="J22" s="42"/>
      <c r="K22" s="40"/>
      <c r="L22" s="41"/>
      <c r="M22" s="49"/>
    </row>
    <row r="23" spans="1:13" x14ac:dyDescent="0.25">
      <c r="A23" s="61" t="s">
        <v>30</v>
      </c>
      <c r="B23" s="96">
        <v>44822</v>
      </c>
      <c r="C23" s="284"/>
      <c r="D23" s="284"/>
      <c r="E23" s="284"/>
      <c r="F23" s="284"/>
      <c r="G23" s="284"/>
      <c r="H23" s="284"/>
      <c r="I23" s="284"/>
      <c r="J23" s="42"/>
      <c r="K23" s="40"/>
      <c r="L23" s="41"/>
      <c r="M23" s="49"/>
    </row>
    <row r="24" spans="1:13" x14ac:dyDescent="0.25">
      <c r="A24" t="s">
        <v>64</v>
      </c>
      <c r="B24" s="95">
        <v>44823</v>
      </c>
      <c r="C24" s="259" t="s">
        <v>333</v>
      </c>
      <c r="D24" s="259"/>
      <c r="E24" s="259"/>
      <c r="F24" s="259"/>
      <c r="G24" s="259"/>
      <c r="H24" s="259"/>
      <c r="I24" s="259"/>
      <c r="J24" s="18"/>
      <c r="K24" s="35">
        <v>0.39583333333333331</v>
      </c>
      <c r="L24" s="21">
        <v>0.79166666666666663</v>
      </c>
      <c r="M24" s="14">
        <f t="shared" ref="M24:M25" si="5">L24-K24</f>
        <v>0.39583333333333331</v>
      </c>
    </row>
    <row r="25" spans="1:13" x14ac:dyDescent="0.25">
      <c r="A25" t="s">
        <v>65</v>
      </c>
      <c r="B25" s="95">
        <v>44824</v>
      </c>
      <c r="C25" s="259" t="s">
        <v>334</v>
      </c>
      <c r="D25" s="259"/>
      <c r="E25" s="259"/>
      <c r="F25" s="259"/>
      <c r="G25" s="259"/>
      <c r="H25" s="259"/>
      <c r="I25" s="259"/>
      <c r="J25" s="18"/>
      <c r="K25" s="35">
        <v>0.39583333333333331</v>
      </c>
      <c r="L25" s="21">
        <v>0.79166666666666663</v>
      </c>
      <c r="M25" s="14">
        <f t="shared" si="5"/>
        <v>0.39583333333333331</v>
      </c>
    </row>
    <row r="26" spans="1:13" x14ac:dyDescent="0.25">
      <c r="A26" t="s">
        <v>66</v>
      </c>
      <c r="B26" s="95">
        <v>44825</v>
      </c>
      <c r="C26" s="194" t="s">
        <v>335</v>
      </c>
      <c r="D26" s="194"/>
      <c r="E26" s="194"/>
      <c r="F26" s="194"/>
      <c r="G26" s="194"/>
      <c r="H26" s="194"/>
      <c r="I26" s="194"/>
      <c r="J26" s="37"/>
      <c r="K26" s="35">
        <v>0.39583333333333331</v>
      </c>
      <c r="L26" s="21">
        <v>0.79166666666666663</v>
      </c>
      <c r="M26" s="14">
        <f t="shared" ref="M26:M28" si="6">L26-K26</f>
        <v>0.39583333333333331</v>
      </c>
    </row>
    <row r="27" spans="1:13" x14ac:dyDescent="0.25">
      <c r="A27" t="s">
        <v>67</v>
      </c>
      <c r="B27" s="95">
        <v>44826</v>
      </c>
      <c r="C27" s="194" t="s">
        <v>336</v>
      </c>
      <c r="D27" s="194"/>
      <c r="E27" s="194"/>
      <c r="F27" s="194"/>
      <c r="G27" s="194"/>
      <c r="H27" s="194"/>
      <c r="I27" s="194"/>
      <c r="J27" s="37"/>
      <c r="K27" s="35">
        <v>0.40277777777777773</v>
      </c>
      <c r="L27" s="21">
        <v>0.79166666666666663</v>
      </c>
      <c r="M27" s="14">
        <f t="shared" si="6"/>
        <v>0.3888888888888889</v>
      </c>
    </row>
    <row r="28" spans="1:13" x14ac:dyDescent="0.25">
      <c r="A28" t="s">
        <v>68</v>
      </c>
      <c r="B28" s="95">
        <v>44827</v>
      </c>
      <c r="C28" s="194" t="s">
        <v>336</v>
      </c>
      <c r="D28" s="194"/>
      <c r="E28" s="194"/>
      <c r="F28" s="194"/>
      <c r="G28" s="194"/>
      <c r="H28" s="194"/>
      <c r="I28" s="194"/>
      <c r="J28" s="37"/>
      <c r="K28" s="35">
        <v>0.39583333333333331</v>
      </c>
      <c r="L28" s="21">
        <v>0.79166666666666663</v>
      </c>
      <c r="M28" s="14">
        <f t="shared" si="6"/>
        <v>0.39583333333333331</v>
      </c>
    </row>
    <row r="29" spans="1:13" x14ac:dyDescent="0.25">
      <c r="A29" s="61" t="s">
        <v>69</v>
      </c>
      <c r="B29" s="96">
        <v>44828</v>
      </c>
      <c r="C29" s="306"/>
      <c r="D29" s="307"/>
      <c r="E29" s="307"/>
      <c r="F29" s="307"/>
      <c r="G29" s="307"/>
      <c r="H29" s="307"/>
      <c r="I29" s="308"/>
      <c r="J29" s="44"/>
      <c r="K29" s="40"/>
      <c r="L29" s="41"/>
      <c r="M29" s="49"/>
    </row>
    <row r="30" spans="1:13" ht="15" customHeight="1" x14ac:dyDescent="0.25">
      <c r="A30" s="61" t="s">
        <v>30</v>
      </c>
      <c r="B30" s="96">
        <v>44829</v>
      </c>
      <c r="C30" s="306"/>
      <c r="D30" s="307"/>
      <c r="E30" s="307"/>
      <c r="F30" s="307"/>
      <c r="G30" s="307"/>
      <c r="H30" s="307"/>
      <c r="I30" s="308"/>
      <c r="J30" s="42"/>
      <c r="K30" s="40"/>
      <c r="L30" s="41"/>
      <c r="M30" s="49"/>
    </row>
    <row r="31" spans="1:13" x14ac:dyDescent="0.25">
      <c r="A31" t="s">
        <v>64</v>
      </c>
      <c r="B31" s="95">
        <v>44830</v>
      </c>
      <c r="C31" s="259" t="s">
        <v>329</v>
      </c>
      <c r="D31" s="259"/>
      <c r="E31" s="259"/>
      <c r="F31" s="259"/>
      <c r="G31" s="259"/>
      <c r="H31" s="259"/>
      <c r="I31" s="259"/>
      <c r="J31" s="18"/>
      <c r="K31" s="35">
        <v>0.39583333333333331</v>
      </c>
      <c r="L31" s="21">
        <v>0.79166666666666663</v>
      </c>
      <c r="M31" s="14">
        <f t="shared" ref="M31:M34" si="7">L31-K31</f>
        <v>0.39583333333333331</v>
      </c>
    </row>
    <row r="32" spans="1:13" x14ac:dyDescent="0.25">
      <c r="A32" t="s">
        <v>65</v>
      </c>
      <c r="B32" s="95">
        <v>44831</v>
      </c>
      <c r="C32" s="259" t="s">
        <v>329</v>
      </c>
      <c r="D32" s="259"/>
      <c r="E32" s="259"/>
      <c r="F32" s="259"/>
      <c r="G32" s="259"/>
      <c r="H32" s="259"/>
      <c r="I32" s="259"/>
      <c r="J32" s="18"/>
      <c r="K32" s="35">
        <v>0.39583333333333331</v>
      </c>
      <c r="L32" s="21">
        <v>0.79166666666666663</v>
      </c>
      <c r="M32" s="14">
        <f t="shared" si="7"/>
        <v>0.39583333333333331</v>
      </c>
    </row>
    <row r="33" spans="1:13" x14ac:dyDescent="0.25">
      <c r="A33" t="s">
        <v>66</v>
      </c>
      <c r="B33" s="95">
        <v>44832</v>
      </c>
      <c r="C33" s="194" t="s">
        <v>331</v>
      </c>
      <c r="D33" s="194"/>
      <c r="E33" s="194"/>
      <c r="F33" s="194"/>
      <c r="G33" s="194"/>
      <c r="H33" s="194"/>
      <c r="I33" s="194"/>
      <c r="J33" s="18"/>
      <c r="K33" s="35">
        <v>0.41666666666666669</v>
      </c>
      <c r="L33" s="21">
        <v>0.79166666666666663</v>
      </c>
      <c r="M33" s="14">
        <f t="shared" si="7"/>
        <v>0.37499999999999994</v>
      </c>
    </row>
    <row r="34" spans="1:13" x14ac:dyDescent="0.25">
      <c r="A34" t="s">
        <v>67</v>
      </c>
      <c r="B34" s="95">
        <v>44833</v>
      </c>
      <c r="C34" s="194" t="s">
        <v>330</v>
      </c>
      <c r="D34" s="194"/>
      <c r="E34" s="194"/>
      <c r="F34" s="194"/>
      <c r="G34" s="194"/>
      <c r="H34" s="194"/>
      <c r="I34" s="194"/>
      <c r="J34" s="18"/>
      <c r="K34" s="35">
        <v>0.41666666666666669</v>
      </c>
      <c r="L34" s="21">
        <v>0.79166666666666663</v>
      </c>
      <c r="M34" s="14">
        <f t="shared" si="7"/>
        <v>0.37499999999999994</v>
      </c>
    </row>
    <row r="35" spans="1:13" x14ac:dyDescent="0.25">
      <c r="A35" t="s">
        <v>68</v>
      </c>
      <c r="B35" s="95">
        <v>44834</v>
      </c>
      <c r="C35" s="280" t="s">
        <v>332</v>
      </c>
      <c r="D35" s="280"/>
      <c r="E35" s="280"/>
      <c r="F35" s="280"/>
      <c r="G35" s="280"/>
      <c r="H35" s="280"/>
      <c r="I35" s="280"/>
      <c r="J35" s="18"/>
      <c r="K35" s="35"/>
      <c r="L35" s="21"/>
      <c r="M35" s="14"/>
    </row>
    <row r="36" spans="1:13" x14ac:dyDescent="0.25">
      <c r="A36" s="18"/>
      <c r="B36" s="11"/>
      <c r="C36" s="194"/>
      <c r="D36" s="194"/>
      <c r="E36" s="194"/>
      <c r="F36" s="194"/>
      <c r="G36" s="194"/>
      <c r="H36" s="194"/>
      <c r="I36" s="194"/>
      <c r="J36" s="18"/>
      <c r="K36" s="22"/>
      <c r="L36" s="22"/>
      <c r="M36" s="14"/>
    </row>
  </sheetData>
  <mergeCells count="37">
    <mergeCell ref="C36:I36"/>
    <mergeCell ref="C30:I30"/>
    <mergeCell ref="C31:I31"/>
    <mergeCell ref="C32:I32"/>
    <mergeCell ref="C33:I33"/>
    <mergeCell ref="C34:I34"/>
    <mergeCell ref="C35:I35"/>
    <mergeCell ref="C29:I29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17:I17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5:J5"/>
    <mergeCell ref="B1:M1"/>
    <mergeCell ref="C2:E2"/>
    <mergeCell ref="G2:M2"/>
    <mergeCell ref="C3:E3"/>
    <mergeCell ref="G3:M3"/>
  </mergeCells>
  <phoneticPr fontId="6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792F-1549-4615-9A12-FFF236D25BB2}">
  <dimension ref="A1:M36"/>
  <sheetViews>
    <sheetView zoomScale="115" workbookViewId="0">
      <selection activeCell="C25" sqref="C25:I25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6" max="6" width="11.7109375" bestFit="1" customWidth="1"/>
    <col min="9" max="9" width="34.42578125" customWidth="1"/>
    <col min="11" max="11" width="11.5703125" style="23" bestFit="1" customWidth="1"/>
    <col min="12" max="12" width="9.140625" style="23"/>
    <col min="13" max="13" width="11" bestFit="1" customWidth="1"/>
  </cols>
  <sheetData>
    <row r="1" spans="1:13" ht="18.75" x14ac:dyDescent="0.3">
      <c r="A1" s="18"/>
      <c r="B1" s="285" t="s">
        <v>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x14ac:dyDescent="0.25">
      <c r="A2" s="18"/>
      <c r="B2" s="79" t="s">
        <v>1</v>
      </c>
      <c r="C2" s="286" t="s">
        <v>34</v>
      </c>
      <c r="D2" s="286"/>
      <c r="E2" s="286"/>
      <c r="F2" s="79" t="s">
        <v>8</v>
      </c>
      <c r="G2" s="286" t="s">
        <v>35</v>
      </c>
      <c r="H2" s="286"/>
      <c r="I2" s="286"/>
      <c r="J2" s="286"/>
      <c r="K2" s="286"/>
      <c r="L2" s="286"/>
      <c r="M2" s="286"/>
    </row>
    <row r="3" spans="1:13" x14ac:dyDescent="0.25">
      <c r="A3" s="18"/>
      <c r="B3" s="79" t="s">
        <v>2</v>
      </c>
      <c r="C3" s="286" t="s">
        <v>36</v>
      </c>
      <c r="D3" s="286"/>
      <c r="E3" s="286"/>
      <c r="F3" s="79" t="s">
        <v>3</v>
      </c>
      <c r="G3" s="286" t="s">
        <v>13</v>
      </c>
      <c r="H3" s="286"/>
      <c r="I3" s="286"/>
      <c r="J3" s="286"/>
      <c r="K3" s="286"/>
      <c r="L3" s="286"/>
      <c r="M3" s="286"/>
    </row>
    <row r="4" spans="1:13" x14ac:dyDescent="0.25">
      <c r="A4" s="18"/>
      <c r="B4" s="80"/>
      <c r="C4" s="80"/>
      <c r="D4" s="80"/>
      <c r="E4" s="80"/>
      <c r="F4" s="80"/>
      <c r="G4" s="80"/>
      <c r="H4" s="80"/>
      <c r="I4" s="80"/>
      <c r="J4" s="80"/>
      <c r="K4" s="81"/>
      <c r="L4" s="82"/>
      <c r="M4" s="82"/>
    </row>
    <row r="5" spans="1:13" x14ac:dyDescent="0.25">
      <c r="A5" s="18"/>
      <c r="B5" s="83" t="s">
        <v>7</v>
      </c>
      <c r="C5" s="287" t="s">
        <v>4</v>
      </c>
      <c r="D5" s="287"/>
      <c r="E5" s="287"/>
      <c r="F5" s="287"/>
      <c r="G5" s="287"/>
      <c r="H5" s="287"/>
      <c r="I5" s="287"/>
      <c r="J5" s="287"/>
      <c r="K5" s="84" t="s">
        <v>5</v>
      </c>
      <c r="L5" s="85" t="s">
        <v>6</v>
      </c>
      <c r="M5" s="83"/>
    </row>
    <row r="6" spans="1:13" x14ac:dyDescent="0.25">
      <c r="A6" s="18" t="s">
        <v>64</v>
      </c>
      <c r="B6" s="11">
        <v>44774</v>
      </c>
      <c r="C6" s="282" t="s">
        <v>304</v>
      </c>
      <c r="D6" s="282"/>
      <c r="E6" s="282"/>
      <c r="F6" s="282"/>
      <c r="G6" s="282"/>
      <c r="H6" s="282"/>
      <c r="I6" s="282"/>
      <c r="J6" s="11"/>
      <c r="K6" s="35">
        <v>0.39583333333333331</v>
      </c>
      <c r="L6" s="21">
        <v>0.8125</v>
      </c>
      <c r="M6" s="14">
        <f t="shared" ref="M6" si="0">L6-K6</f>
        <v>0.41666666666666669</v>
      </c>
    </row>
    <row r="7" spans="1:13" x14ac:dyDescent="0.25">
      <c r="A7" s="18" t="s">
        <v>65</v>
      </c>
      <c r="B7" s="11">
        <v>44775</v>
      </c>
      <c r="C7" s="299" t="s">
        <v>305</v>
      </c>
      <c r="D7" s="300"/>
      <c r="E7" s="300"/>
      <c r="F7" s="300"/>
      <c r="G7" s="300"/>
      <c r="H7" s="300"/>
      <c r="I7" s="301"/>
      <c r="J7" s="11"/>
      <c r="K7" s="35">
        <v>0.39583333333333331</v>
      </c>
      <c r="L7" s="21">
        <v>0.8125</v>
      </c>
      <c r="M7" s="14">
        <f t="shared" ref="M7:M10" si="1">L7-K7</f>
        <v>0.41666666666666669</v>
      </c>
    </row>
    <row r="8" spans="1:13" ht="15" customHeight="1" x14ac:dyDescent="0.25">
      <c r="A8" s="18" t="s">
        <v>66</v>
      </c>
      <c r="B8" s="11">
        <v>44776</v>
      </c>
      <c r="C8" s="221" t="s">
        <v>309</v>
      </c>
      <c r="D8" s="222"/>
      <c r="E8" s="222"/>
      <c r="F8" s="222"/>
      <c r="G8" s="222"/>
      <c r="H8" s="222"/>
      <c r="I8" s="223"/>
      <c r="J8" s="11"/>
      <c r="K8" s="35">
        <v>0.39583333333333331</v>
      </c>
      <c r="L8" s="21">
        <v>0.8125</v>
      </c>
      <c r="M8" s="14">
        <f t="shared" si="1"/>
        <v>0.41666666666666669</v>
      </c>
    </row>
    <row r="9" spans="1:13" ht="15" customHeight="1" x14ac:dyDescent="0.25">
      <c r="A9" s="18" t="s">
        <v>67</v>
      </c>
      <c r="B9" s="11">
        <v>44777</v>
      </c>
      <c r="C9" s="194" t="s">
        <v>306</v>
      </c>
      <c r="D9" s="194"/>
      <c r="E9" s="194"/>
      <c r="F9" s="194"/>
      <c r="G9" s="194"/>
      <c r="H9" s="194"/>
      <c r="I9" s="194"/>
      <c r="J9" s="18"/>
      <c r="K9" s="35">
        <v>0.39583333333333331</v>
      </c>
      <c r="L9" s="21">
        <v>0.8125</v>
      </c>
      <c r="M9" s="14">
        <f t="shared" si="1"/>
        <v>0.41666666666666669</v>
      </c>
    </row>
    <row r="10" spans="1:13" ht="15" customHeight="1" x14ac:dyDescent="0.25">
      <c r="A10" s="18" t="s">
        <v>68</v>
      </c>
      <c r="B10" s="11">
        <v>44778</v>
      </c>
      <c r="C10" s="194" t="s">
        <v>307</v>
      </c>
      <c r="D10" s="194"/>
      <c r="E10" s="194"/>
      <c r="F10" s="194"/>
      <c r="G10" s="194"/>
      <c r="H10" s="194"/>
      <c r="I10" s="194"/>
      <c r="J10" s="18"/>
      <c r="K10" s="35">
        <v>0.39583333333333331</v>
      </c>
      <c r="L10" s="21">
        <v>0.8125</v>
      </c>
      <c r="M10" s="14">
        <f t="shared" si="1"/>
        <v>0.41666666666666669</v>
      </c>
    </row>
    <row r="11" spans="1:13" x14ac:dyDescent="0.25">
      <c r="A11" s="42" t="s">
        <v>69</v>
      </c>
      <c r="B11" s="38">
        <v>44779</v>
      </c>
      <c r="C11" s="284" t="s">
        <v>308</v>
      </c>
      <c r="D11" s="284"/>
      <c r="E11" s="284"/>
      <c r="F11" s="284"/>
      <c r="G11" s="284"/>
      <c r="H11" s="284"/>
      <c r="I11" s="284"/>
      <c r="J11" s="42"/>
      <c r="K11" s="40"/>
      <c r="L11" s="41"/>
      <c r="M11" s="49"/>
    </row>
    <row r="12" spans="1:13" ht="15" customHeight="1" x14ac:dyDescent="0.25">
      <c r="A12" s="42" t="s">
        <v>30</v>
      </c>
      <c r="B12" s="38">
        <v>44780</v>
      </c>
      <c r="C12" s="325"/>
      <c r="D12" s="326"/>
      <c r="E12" s="326"/>
      <c r="F12" s="326"/>
      <c r="G12" s="326"/>
      <c r="H12" s="326"/>
      <c r="I12" s="327"/>
      <c r="J12" s="78"/>
      <c r="K12" s="40"/>
      <c r="L12" s="41"/>
      <c r="M12" s="49"/>
    </row>
    <row r="13" spans="1:13" x14ac:dyDescent="0.25">
      <c r="A13" s="18" t="s">
        <v>64</v>
      </c>
      <c r="B13" s="11">
        <v>44781</v>
      </c>
      <c r="C13" s="221" t="s">
        <v>310</v>
      </c>
      <c r="D13" s="222"/>
      <c r="E13" s="222"/>
      <c r="F13" s="222"/>
      <c r="G13" s="222"/>
      <c r="H13" s="222"/>
      <c r="I13" s="223"/>
      <c r="J13" s="77"/>
      <c r="K13" s="35">
        <v>0.39583333333333331</v>
      </c>
      <c r="L13" s="21">
        <v>0.72916666666666663</v>
      </c>
      <c r="M13" s="14">
        <f t="shared" ref="M13" si="2">L13-K13</f>
        <v>0.33333333333333331</v>
      </c>
    </row>
    <row r="14" spans="1:13" x14ac:dyDescent="0.25">
      <c r="A14" s="18" t="s">
        <v>65</v>
      </c>
      <c r="B14" s="11">
        <v>44782</v>
      </c>
      <c r="C14" s="291" t="s">
        <v>311</v>
      </c>
      <c r="D14" s="292"/>
      <c r="E14" s="292"/>
      <c r="F14" s="292"/>
      <c r="G14" s="292"/>
      <c r="H14" s="292"/>
      <c r="I14" s="293"/>
      <c r="J14" s="77"/>
      <c r="K14" s="35"/>
      <c r="L14" s="21"/>
      <c r="M14" s="14"/>
    </row>
    <row r="15" spans="1:13" ht="15" customHeight="1" x14ac:dyDescent="0.25">
      <c r="A15" s="18" t="s">
        <v>66</v>
      </c>
      <c r="B15" s="11">
        <v>44783</v>
      </c>
      <c r="C15" s="312" t="s">
        <v>311</v>
      </c>
      <c r="D15" s="313"/>
      <c r="E15" s="313"/>
      <c r="F15" s="313"/>
      <c r="G15" s="313"/>
      <c r="H15" s="313"/>
      <c r="I15" s="314"/>
      <c r="J15" s="77"/>
      <c r="K15" s="35"/>
      <c r="L15" s="21"/>
      <c r="M15" s="14"/>
    </row>
    <row r="16" spans="1:13" x14ac:dyDescent="0.25">
      <c r="A16" s="18" t="s">
        <v>67</v>
      </c>
      <c r="B16" s="11">
        <v>44784</v>
      </c>
      <c r="C16" s="337" t="s">
        <v>311</v>
      </c>
      <c r="D16" s="300"/>
      <c r="E16" s="300"/>
      <c r="F16" s="300"/>
      <c r="G16" s="300"/>
      <c r="H16" s="300"/>
      <c r="I16" s="301"/>
      <c r="J16" s="18"/>
      <c r="K16" s="35"/>
      <c r="L16" s="21"/>
      <c r="M16" s="14"/>
    </row>
    <row r="17" spans="1:13" x14ac:dyDescent="0.25">
      <c r="A17" s="18" t="s">
        <v>68</v>
      </c>
      <c r="B17" s="11">
        <v>44785</v>
      </c>
      <c r="C17" s="259" t="s">
        <v>310</v>
      </c>
      <c r="D17" s="259"/>
      <c r="E17" s="259"/>
      <c r="F17" s="259"/>
      <c r="G17" s="259"/>
      <c r="H17" s="259"/>
      <c r="I17" s="259"/>
      <c r="J17" s="18"/>
      <c r="K17" s="35">
        <v>0.39583333333333331</v>
      </c>
      <c r="L17" s="21">
        <v>0.72916666666666663</v>
      </c>
      <c r="M17" s="14">
        <f t="shared" ref="M17" si="3">L17-K17</f>
        <v>0.33333333333333331</v>
      </c>
    </row>
    <row r="18" spans="1:13" ht="15" customHeight="1" x14ac:dyDescent="0.25">
      <c r="A18" s="42" t="s">
        <v>69</v>
      </c>
      <c r="B18" s="38">
        <v>44786</v>
      </c>
      <c r="C18" s="284" t="s">
        <v>314</v>
      </c>
      <c r="D18" s="284"/>
      <c r="E18" s="284"/>
      <c r="F18" s="284"/>
      <c r="G18" s="284"/>
      <c r="H18" s="284"/>
      <c r="I18" s="284"/>
      <c r="J18" s="62"/>
      <c r="K18" s="40"/>
      <c r="L18" s="41"/>
      <c r="M18" s="49"/>
    </row>
    <row r="19" spans="1:13" x14ac:dyDescent="0.25">
      <c r="A19" s="42" t="s">
        <v>30</v>
      </c>
      <c r="B19" s="38">
        <v>44787</v>
      </c>
      <c r="C19" s="330"/>
      <c r="D19" s="331"/>
      <c r="E19" s="331"/>
      <c r="F19" s="331"/>
      <c r="G19" s="331"/>
      <c r="H19" s="331"/>
      <c r="I19" s="332"/>
      <c r="J19" s="78"/>
      <c r="K19" s="40"/>
      <c r="L19" s="41"/>
      <c r="M19" s="49"/>
    </row>
    <row r="20" spans="1:13" x14ac:dyDescent="0.25">
      <c r="A20" s="18" t="s">
        <v>64</v>
      </c>
      <c r="B20" s="11">
        <v>44788</v>
      </c>
      <c r="C20" s="333" t="s">
        <v>312</v>
      </c>
      <c r="D20" s="334"/>
      <c r="E20" s="334"/>
      <c r="F20" s="334"/>
      <c r="G20" s="334"/>
      <c r="H20" s="334"/>
      <c r="I20" s="335"/>
      <c r="J20" s="77"/>
      <c r="K20" s="35">
        <v>0.39583333333333331</v>
      </c>
      <c r="L20" s="21">
        <v>0.72916666666666663</v>
      </c>
      <c r="M20" s="14">
        <f t="shared" ref="M20" si="4">L20-K20</f>
        <v>0.33333333333333331</v>
      </c>
    </row>
    <row r="21" spans="1:13" ht="15" customHeight="1" x14ac:dyDescent="0.25">
      <c r="A21" s="18" t="s">
        <v>65</v>
      </c>
      <c r="B21" s="11">
        <v>44789</v>
      </c>
      <c r="C21" s="259" t="s">
        <v>313</v>
      </c>
      <c r="D21" s="259"/>
      <c r="E21" s="259"/>
      <c r="F21" s="259"/>
      <c r="G21" s="259"/>
      <c r="H21" s="259"/>
      <c r="I21" s="259"/>
      <c r="J21" s="18"/>
      <c r="K21" s="35">
        <v>0.39583333333333331</v>
      </c>
      <c r="L21" s="21">
        <v>0.72916666666666663</v>
      </c>
      <c r="M21" s="14">
        <f t="shared" ref="M21:M22" si="5">L21-K21</f>
        <v>0.33333333333333331</v>
      </c>
    </row>
    <row r="22" spans="1:13" x14ac:dyDescent="0.25">
      <c r="A22" s="18" t="s">
        <v>66</v>
      </c>
      <c r="B22" s="11">
        <v>44790</v>
      </c>
      <c r="C22" s="259" t="s">
        <v>313</v>
      </c>
      <c r="D22" s="259"/>
      <c r="E22" s="259"/>
      <c r="F22" s="259"/>
      <c r="G22" s="259"/>
      <c r="H22" s="259"/>
      <c r="I22" s="259"/>
      <c r="J22" s="18"/>
      <c r="K22" s="35">
        <v>0.39583333333333331</v>
      </c>
      <c r="L22" s="21">
        <v>0.72916666666666663</v>
      </c>
      <c r="M22" s="14">
        <f t="shared" si="5"/>
        <v>0.33333333333333331</v>
      </c>
    </row>
    <row r="23" spans="1:13" x14ac:dyDescent="0.25">
      <c r="A23" s="18" t="s">
        <v>67</v>
      </c>
      <c r="B23" s="11">
        <v>44791</v>
      </c>
      <c r="C23" s="259" t="s">
        <v>313</v>
      </c>
      <c r="D23" s="259"/>
      <c r="E23" s="259"/>
      <c r="F23" s="259"/>
      <c r="G23" s="259"/>
      <c r="H23" s="259"/>
      <c r="I23" s="259"/>
      <c r="J23" s="18"/>
      <c r="K23" s="35">
        <v>0.5625</v>
      </c>
      <c r="L23" s="21">
        <v>0.72916666666666663</v>
      </c>
      <c r="M23" s="14">
        <f>L23-K23</f>
        <v>0.16666666666666663</v>
      </c>
    </row>
    <row r="24" spans="1:13" x14ac:dyDescent="0.25">
      <c r="A24" s="18" t="s">
        <v>68</v>
      </c>
      <c r="B24" s="11">
        <v>44792</v>
      </c>
      <c r="C24" s="259" t="s">
        <v>313</v>
      </c>
      <c r="D24" s="259"/>
      <c r="E24" s="259"/>
      <c r="F24" s="259"/>
      <c r="G24" s="259"/>
      <c r="H24" s="259"/>
      <c r="I24" s="259"/>
      <c r="J24" s="18"/>
      <c r="K24" s="35">
        <v>0.39583333333333331</v>
      </c>
      <c r="L24" s="21">
        <v>0.72916666666666663</v>
      </c>
      <c r="M24" s="14">
        <f t="shared" ref="M24" si="6">L24-K24</f>
        <v>0.33333333333333331</v>
      </c>
    </row>
    <row r="25" spans="1:13" x14ac:dyDescent="0.25">
      <c r="A25" s="42" t="s">
        <v>69</v>
      </c>
      <c r="B25" s="38">
        <v>44793</v>
      </c>
      <c r="C25" s="284" t="s">
        <v>308</v>
      </c>
      <c r="D25" s="284"/>
      <c r="E25" s="284"/>
      <c r="F25" s="284"/>
      <c r="G25" s="284"/>
      <c r="H25" s="284"/>
      <c r="I25" s="284"/>
      <c r="J25" s="42"/>
      <c r="K25" s="40"/>
      <c r="L25" s="41"/>
      <c r="M25" s="49"/>
    </row>
    <row r="26" spans="1:13" x14ac:dyDescent="0.25">
      <c r="A26" s="42" t="s">
        <v>30</v>
      </c>
      <c r="B26" s="38">
        <v>44794</v>
      </c>
      <c r="C26" s="279"/>
      <c r="D26" s="279"/>
      <c r="E26" s="279"/>
      <c r="F26" s="279"/>
      <c r="G26" s="279"/>
      <c r="H26" s="279"/>
      <c r="I26" s="279"/>
      <c r="J26" s="44"/>
      <c r="K26" s="40"/>
      <c r="L26" s="41"/>
      <c r="M26" s="49"/>
    </row>
    <row r="27" spans="1:13" x14ac:dyDescent="0.25">
      <c r="A27" s="18" t="s">
        <v>64</v>
      </c>
      <c r="B27" s="11">
        <v>44795</v>
      </c>
      <c r="C27" s="336" t="s">
        <v>315</v>
      </c>
      <c r="D27" s="336"/>
      <c r="E27" s="336"/>
      <c r="F27" s="336"/>
      <c r="G27" s="336"/>
      <c r="H27" s="336"/>
      <c r="I27" s="336"/>
      <c r="J27" s="37"/>
      <c r="K27" s="35">
        <v>0.39583333333333331</v>
      </c>
      <c r="L27" s="21">
        <v>0.72916666666666663</v>
      </c>
      <c r="M27" s="14">
        <f t="shared" ref="M27:M31" si="7">L27-K27</f>
        <v>0.33333333333333331</v>
      </c>
    </row>
    <row r="28" spans="1:13" x14ac:dyDescent="0.25">
      <c r="A28" s="18" t="s">
        <v>65</v>
      </c>
      <c r="B28" s="11">
        <v>44796</v>
      </c>
      <c r="C28" s="336" t="s">
        <v>316</v>
      </c>
      <c r="D28" s="336"/>
      <c r="E28" s="336"/>
      <c r="F28" s="336"/>
      <c r="G28" s="336"/>
      <c r="H28" s="336"/>
      <c r="I28" s="336"/>
      <c r="J28" s="37"/>
      <c r="K28" s="35">
        <v>0.39583333333333331</v>
      </c>
      <c r="L28" s="21">
        <v>0.72916666666666663</v>
      </c>
      <c r="M28" s="14">
        <f t="shared" si="7"/>
        <v>0.33333333333333331</v>
      </c>
    </row>
    <row r="29" spans="1:13" x14ac:dyDescent="0.25">
      <c r="A29" s="18" t="s">
        <v>66</v>
      </c>
      <c r="B29" s="11">
        <v>44797</v>
      </c>
      <c r="C29" s="312" t="s">
        <v>313</v>
      </c>
      <c r="D29" s="313"/>
      <c r="E29" s="313"/>
      <c r="F29" s="313"/>
      <c r="G29" s="313"/>
      <c r="H29" s="313"/>
      <c r="I29" s="314"/>
      <c r="J29" s="37"/>
      <c r="K29" s="35">
        <v>0.39583333333333331</v>
      </c>
      <c r="L29" s="21">
        <v>0.72916666666666663</v>
      </c>
      <c r="M29" s="14">
        <f t="shared" si="7"/>
        <v>0.33333333333333331</v>
      </c>
    </row>
    <row r="30" spans="1:13" ht="15" customHeight="1" x14ac:dyDescent="0.25">
      <c r="A30" s="18" t="s">
        <v>67</v>
      </c>
      <c r="B30" s="11">
        <v>44798</v>
      </c>
      <c r="C30" s="312" t="s">
        <v>313</v>
      </c>
      <c r="D30" s="313"/>
      <c r="E30" s="313"/>
      <c r="F30" s="313"/>
      <c r="G30" s="313"/>
      <c r="H30" s="313"/>
      <c r="I30" s="314"/>
      <c r="J30" s="18"/>
      <c r="K30" s="35">
        <v>0.39583333333333331</v>
      </c>
      <c r="L30" s="21">
        <v>0.72916666666666663</v>
      </c>
      <c r="M30" s="14">
        <f t="shared" si="7"/>
        <v>0.33333333333333331</v>
      </c>
    </row>
    <row r="31" spans="1:13" x14ac:dyDescent="0.25">
      <c r="A31" s="18" t="s">
        <v>68</v>
      </c>
      <c r="B31" s="11">
        <v>44799</v>
      </c>
      <c r="C31" s="259" t="s">
        <v>313</v>
      </c>
      <c r="D31" s="259"/>
      <c r="E31" s="259"/>
      <c r="F31" s="259"/>
      <c r="G31" s="259"/>
      <c r="H31" s="259"/>
      <c r="I31" s="259"/>
      <c r="J31" s="18"/>
      <c r="K31" s="35">
        <v>0.39583333333333331</v>
      </c>
      <c r="L31" s="21">
        <v>0.72916666666666663</v>
      </c>
      <c r="M31" s="14">
        <f t="shared" si="7"/>
        <v>0.33333333333333331</v>
      </c>
    </row>
    <row r="32" spans="1:13" x14ac:dyDescent="0.25">
      <c r="A32" s="42" t="s">
        <v>69</v>
      </c>
      <c r="B32" s="38">
        <v>44800</v>
      </c>
      <c r="C32" s="329"/>
      <c r="D32" s="329"/>
      <c r="E32" s="329"/>
      <c r="F32" s="329"/>
      <c r="G32" s="329"/>
      <c r="H32" s="329"/>
      <c r="I32" s="329"/>
      <c r="J32" s="42"/>
      <c r="K32" s="40"/>
      <c r="L32" s="41"/>
      <c r="M32" s="49"/>
    </row>
    <row r="33" spans="1:13" x14ac:dyDescent="0.25">
      <c r="A33" s="42" t="s">
        <v>30</v>
      </c>
      <c r="B33" s="38">
        <v>44801</v>
      </c>
      <c r="C33" s="279"/>
      <c r="D33" s="279"/>
      <c r="E33" s="279"/>
      <c r="F33" s="279"/>
      <c r="G33" s="279"/>
      <c r="H33" s="279"/>
      <c r="I33" s="279"/>
      <c r="J33" s="42"/>
      <c r="K33" s="40"/>
      <c r="L33" s="41"/>
      <c r="M33" s="49"/>
    </row>
    <row r="34" spans="1:13" x14ac:dyDescent="0.25">
      <c r="A34" s="18" t="s">
        <v>64</v>
      </c>
      <c r="B34" s="11">
        <v>44802</v>
      </c>
      <c r="C34" s="280" t="s">
        <v>317</v>
      </c>
      <c r="D34" s="280"/>
      <c r="E34" s="280"/>
      <c r="F34" s="280"/>
      <c r="G34" s="280"/>
      <c r="H34" s="280"/>
      <c r="I34" s="280"/>
      <c r="J34" s="18"/>
      <c r="K34" s="35">
        <v>0.39583333333333331</v>
      </c>
      <c r="L34" s="21">
        <v>0.8125</v>
      </c>
      <c r="M34" s="14">
        <f t="shared" ref="M34" si="8">L34-K34</f>
        <v>0.41666666666666669</v>
      </c>
    </row>
    <row r="35" spans="1:13" x14ac:dyDescent="0.25">
      <c r="A35" s="18" t="s">
        <v>65</v>
      </c>
      <c r="B35" s="11">
        <v>44803</v>
      </c>
      <c r="C35" s="280" t="s">
        <v>318</v>
      </c>
      <c r="D35" s="280"/>
      <c r="E35" s="280"/>
      <c r="F35" s="280"/>
      <c r="G35" s="280"/>
      <c r="H35" s="280"/>
      <c r="I35" s="280"/>
      <c r="J35" s="18"/>
      <c r="K35" s="35">
        <v>0.39583333333333331</v>
      </c>
      <c r="L35" s="21">
        <v>0.8125</v>
      </c>
      <c r="M35" s="14">
        <f t="shared" ref="M35" si="9">L35-K35</f>
        <v>0.41666666666666669</v>
      </c>
    </row>
    <row r="36" spans="1:13" x14ac:dyDescent="0.25">
      <c r="A36" s="18" t="s">
        <v>66</v>
      </c>
      <c r="B36" s="11">
        <v>44804</v>
      </c>
      <c r="C36" s="279" t="s">
        <v>319</v>
      </c>
      <c r="D36" s="279"/>
      <c r="E36" s="279"/>
      <c r="F36" s="279"/>
      <c r="G36" s="279"/>
      <c r="H36" s="279"/>
      <c r="I36" s="279"/>
      <c r="J36" s="18"/>
      <c r="K36" s="22"/>
      <c r="L36" s="22"/>
      <c r="M36" s="14"/>
    </row>
  </sheetData>
  <mergeCells count="37">
    <mergeCell ref="C5:J5"/>
    <mergeCell ref="B1:M1"/>
    <mergeCell ref="C2:E2"/>
    <mergeCell ref="G2:M2"/>
    <mergeCell ref="C3:E3"/>
    <mergeCell ref="G3:M3"/>
    <mergeCell ref="C17:I17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29:I29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36:I36"/>
    <mergeCell ref="C30:I30"/>
    <mergeCell ref="C31:I31"/>
    <mergeCell ref="C32:I32"/>
    <mergeCell ref="C33:I33"/>
    <mergeCell ref="C34:I34"/>
    <mergeCell ref="C35:I35"/>
  </mergeCells>
  <phoneticPr fontId="6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8DE9-A053-4571-A20E-25BB836A83B8}">
  <dimension ref="A1:M36"/>
  <sheetViews>
    <sheetView topLeftCell="A17" zoomScale="115" workbookViewId="0">
      <selection activeCell="B37" sqref="B37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6" max="6" width="11.7109375" bestFit="1" customWidth="1"/>
    <col min="9" max="9" width="34.42578125" customWidth="1"/>
    <col min="11" max="11" width="11.5703125" style="23" bestFit="1" customWidth="1"/>
    <col min="12" max="12" width="9.140625" style="23"/>
    <col min="13" max="13" width="11" bestFit="1" customWidth="1"/>
  </cols>
  <sheetData>
    <row r="1" spans="1:13" ht="18.75" x14ac:dyDescent="0.3">
      <c r="A1" s="18"/>
      <c r="B1" s="285" t="s">
        <v>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x14ac:dyDescent="0.25">
      <c r="A2" s="18"/>
      <c r="B2" s="79" t="s">
        <v>1</v>
      </c>
      <c r="C2" s="286" t="s">
        <v>34</v>
      </c>
      <c r="D2" s="286"/>
      <c r="E2" s="286"/>
      <c r="F2" s="79" t="s">
        <v>8</v>
      </c>
      <c r="G2" s="286" t="s">
        <v>35</v>
      </c>
      <c r="H2" s="286"/>
      <c r="I2" s="286"/>
      <c r="J2" s="286"/>
      <c r="K2" s="286"/>
      <c r="L2" s="286"/>
      <c r="M2" s="286"/>
    </row>
    <row r="3" spans="1:13" x14ac:dyDescent="0.25">
      <c r="A3" s="18"/>
      <c r="B3" s="79" t="s">
        <v>2</v>
      </c>
      <c r="C3" s="286" t="s">
        <v>36</v>
      </c>
      <c r="D3" s="286"/>
      <c r="E3" s="286"/>
      <c r="F3" s="79" t="s">
        <v>3</v>
      </c>
      <c r="G3" s="286" t="s">
        <v>13</v>
      </c>
      <c r="H3" s="286"/>
      <c r="I3" s="286"/>
      <c r="J3" s="286"/>
      <c r="K3" s="286"/>
      <c r="L3" s="286"/>
      <c r="M3" s="286"/>
    </row>
    <row r="4" spans="1:13" x14ac:dyDescent="0.25">
      <c r="A4" s="18"/>
      <c r="B4" s="80"/>
      <c r="C4" s="80"/>
      <c r="D4" s="80"/>
      <c r="E4" s="80"/>
      <c r="F4" s="80"/>
      <c r="G4" s="80"/>
      <c r="H4" s="80"/>
      <c r="I4" s="80"/>
      <c r="J4" s="80"/>
      <c r="K4" s="81"/>
      <c r="L4" s="82"/>
      <c r="M4" s="82"/>
    </row>
    <row r="5" spans="1:13" x14ac:dyDescent="0.25">
      <c r="A5" s="18"/>
      <c r="B5" s="83" t="s">
        <v>7</v>
      </c>
      <c r="C5" s="287" t="s">
        <v>4</v>
      </c>
      <c r="D5" s="287"/>
      <c r="E5" s="287"/>
      <c r="F5" s="287"/>
      <c r="G5" s="287"/>
      <c r="H5" s="287"/>
      <c r="I5" s="287"/>
      <c r="J5" s="287"/>
      <c r="K5" s="84" t="s">
        <v>5</v>
      </c>
      <c r="L5" s="85" t="s">
        <v>6</v>
      </c>
      <c r="M5" s="83"/>
    </row>
    <row r="6" spans="1:13" x14ac:dyDescent="0.25">
      <c r="A6" s="18" t="s">
        <v>68</v>
      </c>
      <c r="B6" s="11">
        <v>44743</v>
      </c>
      <c r="C6" s="282" t="s">
        <v>287</v>
      </c>
      <c r="D6" s="282"/>
      <c r="E6" s="282"/>
      <c r="F6" s="282"/>
      <c r="G6" s="282"/>
      <c r="H6" s="282"/>
      <c r="I6" s="282"/>
      <c r="J6" s="11"/>
      <c r="K6" s="35">
        <v>0.39583333333333331</v>
      </c>
      <c r="L6" s="21">
        <v>0.8125</v>
      </c>
      <c r="M6" s="14">
        <f t="shared" ref="M6" si="0">L6-K6</f>
        <v>0.41666666666666669</v>
      </c>
    </row>
    <row r="7" spans="1:13" x14ac:dyDescent="0.25">
      <c r="A7" s="42" t="s">
        <v>69</v>
      </c>
      <c r="B7" s="38">
        <v>44744</v>
      </c>
      <c r="C7" s="309"/>
      <c r="D7" s="310"/>
      <c r="E7" s="310"/>
      <c r="F7" s="310"/>
      <c r="G7" s="310"/>
      <c r="H7" s="310"/>
      <c r="I7" s="311"/>
      <c r="J7" s="38"/>
      <c r="K7" s="40">
        <v>0.39583333333333331</v>
      </c>
      <c r="L7" s="41">
        <v>0.8125</v>
      </c>
      <c r="M7" s="49">
        <f t="shared" ref="M7:M13" si="1">L7-K7</f>
        <v>0.41666666666666669</v>
      </c>
    </row>
    <row r="8" spans="1:13" ht="15" customHeight="1" x14ac:dyDescent="0.25">
      <c r="A8" s="42" t="s">
        <v>30</v>
      </c>
      <c r="B8" s="38">
        <v>44745</v>
      </c>
      <c r="C8" s="325"/>
      <c r="D8" s="326"/>
      <c r="E8" s="326"/>
      <c r="F8" s="326"/>
      <c r="G8" s="326"/>
      <c r="H8" s="326"/>
      <c r="I8" s="327"/>
      <c r="J8" s="38"/>
      <c r="K8" s="40">
        <v>0.39583333333333331</v>
      </c>
      <c r="L8" s="41">
        <v>0.8125</v>
      </c>
      <c r="M8" s="49">
        <f t="shared" si="1"/>
        <v>0.41666666666666669</v>
      </c>
    </row>
    <row r="9" spans="1:13" ht="15" customHeight="1" x14ac:dyDescent="0.25">
      <c r="A9" s="18" t="s">
        <v>64</v>
      </c>
      <c r="B9" s="11">
        <v>44746</v>
      </c>
      <c r="C9" s="194" t="s">
        <v>285</v>
      </c>
      <c r="D9" s="194"/>
      <c r="E9" s="194"/>
      <c r="F9" s="194"/>
      <c r="G9" s="194"/>
      <c r="H9" s="194"/>
      <c r="I9" s="194"/>
      <c r="J9" s="18"/>
      <c r="K9" s="35">
        <v>0.39583333333333331</v>
      </c>
      <c r="L9" s="21">
        <v>0.8125</v>
      </c>
      <c r="M9" s="14">
        <f t="shared" si="1"/>
        <v>0.41666666666666669</v>
      </c>
    </row>
    <row r="10" spans="1:13" ht="15" customHeight="1" x14ac:dyDescent="0.25">
      <c r="A10" s="18" t="s">
        <v>65</v>
      </c>
      <c r="B10" s="11">
        <v>44747</v>
      </c>
      <c r="C10" s="194" t="s">
        <v>286</v>
      </c>
      <c r="D10" s="194"/>
      <c r="E10" s="194"/>
      <c r="F10" s="194"/>
      <c r="G10" s="194"/>
      <c r="H10" s="194"/>
      <c r="I10" s="194"/>
      <c r="J10" s="18"/>
      <c r="K10" s="35">
        <v>0.39583333333333331</v>
      </c>
      <c r="L10" s="21">
        <v>0.8125</v>
      </c>
      <c r="M10" s="14">
        <f t="shared" si="1"/>
        <v>0.41666666666666669</v>
      </c>
    </row>
    <row r="11" spans="1:13" x14ac:dyDescent="0.25">
      <c r="A11" s="18" t="s">
        <v>66</v>
      </c>
      <c r="B11" s="11">
        <v>44748</v>
      </c>
      <c r="C11" s="259" t="s">
        <v>286</v>
      </c>
      <c r="D11" s="259"/>
      <c r="E11" s="259"/>
      <c r="F11" s="259"/>
      <c r="G11" s="259"/>
      <c r="H11" s="259"/>
      <c r="I11" s="259"/>
      <c r="J11" s="18"/>
      <c r="K11" s="35">
        <v>0.39583333333333331</v>
      </c>
      <c r="L11" s="21">
        <v>0.8125</v>
      </c>
      <c r="M11" s="14">
        <f t="shared" si="1"/>
        <v>0.41666666666666669</v>
      </c>
    </row>
    <row r="12" spans="1:13" ht="15" customHeight="1" x14ac:dyDescent="0.25">
      <c r="A12" s="18" t="s">
        <v>67</v>
      </c>
      <c r="B12" s="11">
        <v>44749</v>
      </c>
      <c r="C12" s="221" t="s">
        <v>286</v>
      </c>
      <c r="D12" s="222"/>
      <c r="E12" s="222"/>
      <c r="F12" s="222"/>
      <c r="G12" s="222"/>
      <c r="H12" s="222"/>
      <c r="I12" s="223"/>
      <c r="J12" s="77"/>
      <c r="K12" s="35">
        <v>0.39583333333333331</v>
      </c>
      <c r="L12" s="21">
        <v>0.8125</v>
      </c>
      <c r="M12" s="14">
        <f t="shared" si="1"/>
        <v>0.41666666666666669</v>
      </c>
    </row>
    <row r="13" spans="1:13" x14ac:dyDescent="0.25">
      <c r="A13" s="18" t="s">
        <v>68</v>
      </c>
      <c r="B13" s="11">
        <v>44750</v>
      </c>
      <c r="C13" s="221" t="s">
        <v>284</v>
      </c>
      <c r="D13" s="222"/>
      <c r="E13" s="222"/>
      <c r="F13" s="222"/>
      <c r="G13" s="222"/>
      <c r="H13" s="222"/>
      <c r="I13" s="223"/>
      <c r="J13" s="77"/>
      <c r="K13" s="35">
        <v>0.39583333333333331</v>
      </c>
      <c r="L13" s="21">
        <v>0.8125</v>
      </c>
      <c r="M13" s="14">
        <f t="shared" si="1"/>
        <v>0.41666666666666669</v>
      </c>
    </row>
    <row r="14" spans="1:13" x14ac:dyDescent="0.25">
      <c r="A14" s="42" t="s">
        <v>69</v>
      </c>
      <c r="B14" s="38">
        <v>44751</v>
      </c>
      <c r="C14" s="288" t="s">
        <v>292</v>
      </c>
      <c r="D14" s="289"/>
      <c r="E14" s="289"/>
      <c r="F14" s="289"/>
      <c r="G14" s="289"/>
      <c r="H14" s="289"/>
      <c r="I14" s="290"/>
      <c r="J14" s="78"/>
      <c r="K14" s="40"/>
      <c r="L14" s="41"/>
      <c r="M14" s="49"/>
    </row>
    <row r="15" spans="1:13" ht="15" customHeight="1" x14ac:dyDescent="0.25">
      <c r="A15" s="42" t="s">
        <v>30</v>
      </c>
      <c r="B15" s="38">
        <v>44752</v>
      </c>
      <c r="C15" s="306" t="s">
        <v>30</v>
      </c>
      <c r="D15" s="307"/>
      <c r="E15" s="307"/>
      <c r="F15" s="307"/>
      <c r="G15" s="307"/>
      <c r="H15" s="307"/>
      <c r="I15" s="308"/>
      <c r="J15" s="78"/>
      <c r="K15" s="40"/>
      <c r="L15" s="41"/>
      <c r="M15" s="49"/>
    </row>
    <row r="16" spans="1:13" x14ac:dyDescent="0.25">
      <c r="A16" s="18" t="s">
        <v>64</v>
      </c>
      <c r="B16" s="11">
        <v>44753</v>
      </c>
      <c r="C16" s="299" t="s">
        <v>290</v>
      </c>
      <c r="D16" s="300"/>
      <c r="E16" s="300"/>
      <c r="F16" s="300"/>
      <c r="G16" s="300"/>
      <c r="H16" s="300"/>
      <c r="I16" s="301"/>
      <c r="J16" s="18"/>
      <c r="K16" s="35">
        <v>0.39583333333333331</v>
      </c>
      <c r="L16" s="21">
        <v>0.8125</v>
      </c>
      <c r="M16" s="14">
        <f t="shared" ref="M16" si="2">L16-K16</f>
        <v>0.41666666666666669</v>
      </c>
    </row>
    <row r="17" spans="1:13" x14ac:dyDescent="0.25">
      <c r="A17" s="18" t="s">
        <v>65</v>
      </c>
      <c r="B17" s="11">
        <v>44754</v>
      </c>
      <c r="C17" s="259" t="s">
        <v>291</v>
      </c>
      <c r="D17" s="259"/>
      <c r="E17" s="259"/>
      <c r="F17" s="259"/>
      <c r="G17" s="259"/>
      <c r="H17" s="259"/>
      <c r="I17" s="259"/>
      <c r="J17" s="18"/>
      <c r="K17" s="35">
        <v>0.39583333333333331</v>
      </c>
      <c r="L17" s="21">
        <v>0.8125</v>
      </c>
      <c r="M17" s="14">
        <f t="shared" ref="M17:M18" si="3">L17-K17</f>
        <v>0.41666666666666669</v>
      </c>
    </row>
    <row r="18" spans="1:13" ht="15" customHeight="1" x14ac:dyDescent="0.25">
      <c r="A18" s="18" t="s">
        <v>66</v>
      </c>
      <c r="B18" s="11">
        <v>44755</v>
      </c>
      <c r="C18" s="259" t="s">
        <v>293</v>
      </c>
      <c r="D18" s="259"/>
      <c r="E18" s="259"/>
      <c r="F18" s="259"/>
      <c r="G18" s="259"/>
      <c r="H18" s="259"/>
      <c r="I18" s="259"/>
      <c r="J18" s="51"/>
      <c r="K18" s="35">
        <v>0.39583333333333331</v>
      </c>
      <c r="L18" s="21">
        <v>0.8125</v>
      </c>
      <c r="M18" s="14">
        <f t="shared" si="3"/>
        <v>0.41666666666666669</v>
      </c>
    </row>
    <row r="19" spans="1:13" x14ac:dyDescent="0.25">
      <c r="A19" s="18" t="s">
        <v>67</v>
      </c>
      <c r="B19" s="11">
        <v>44756</v>
      </c>
      <c r="C19" s="338" t="s">
        <v>288</v>
      </c>
      <c r="D19" s="339"/>
      <c r="E19" s="339"/>
      <c r="F19" s="339"/>
      <c r="G19" s="339"/>
      <c r="H19" s="339"/>
      <c r="I19" s="340"/>
      <c r="J19" s="77"/>
      <c r="K19" s="35">
        <v>0.39583333333333331</v>
      </c>
      <c r="L19" s="21">
        <v>0.8125</v>
      </c>
      <c r="M19" s="14">
        <f t="shared" ref="M19:M20" si="4">L19-K19</f>
        <v>0.41666666666666669</v>
      </c>
    </row>
    <row r="20" spans="1:13" x14ac:dyDescent="0.25">
      <c r="A20" s="18" t="s">
        <v>68</v>
      </c>
      <c r="B20" s="11">
        <v>44757</v>
      </c>
      <c r="C20" s="333" t="s">
        <v>289</v>
      </c>
      <c r="D20" s="334"/>
      <c r="E20" s="334"/>
      <c r="F20" s="334"/>
      <c r="G20" s="334"/>
      <c r="H20" s="334"/>
      <c r="I20" s="335"/>
      <c r="J20" s="77"/>
      <c r="K20" s="35">
        <v>0.39583333333333331</v>
      </c>
      <c r="L20" s="21">
        <v>0.8125</v>
      </c>
      <c r="M20" s="14">
        <f t="shared" si="4"/>
        <v>0.41666666666666669</v>
      </c>
    </row>
    <row r="21" spans="1:13" ht="15" customHeight="1" x14ac:dyDescent="0.25">
      <c r="A21" s="42" t="s">
        <v>69</v>
      </c>
      <c r="B21" s="38">
        <v>44758</v>
      </c>
      <c r="C21" s="284"/>
      <c r="D21" s="284"/>
      <c r="E21" s="284"/>
      <c r="F21" s="284"/>
      <c r="G21" s="284"/>
      <c r="H21" s="284"/>
      <c r="I21" s="284"/>
      <c r="J21" s="42"/>
      <c r="K21" s="40"/>
      <c r="L21" s="41"/>
      <c r="M21" s="49"/>
    </row>
    <row r="22" spans="1:13" x14ac:dyDescent="0.25">
      <c r="A22" s="42" t="s">
        <v>30</v>
      </c>
      <c r="B22" s="38">
        <v>44759</v>
      </c>
      <c r="C22" s="284"/>
      <c r="D22" s="284"/>
      <c r="E22" s="284"/>
      <c r="F22" s="284"/>
      <c r="G22" s="284"/>
      <c r="H22" s="284"/>
      <c r="I22" s="284"/>
      <c r="J22" s="42"/>
      <c r="K22" s="40"/>
      <c r="L22" s="41"/>
      <c r="M22" s="49"/>
    </row>
    <row r="23" spans="1:13" x14ac:dyDescent="0.25">
      <c r="A23" s="18" t="s">
        <v>64</v>
      </c>
      <c r="B23" s="11">
        <v>44760</v>
      </c>
      <c r="C23" s="259" t="s">
        <v>294</v>
      </c>
      <c r="D23" s="259"/>
      <c r="E23" s="259"/>
      <c r="F23" s="259"/>
      <c r="G23" s="259"/>
      <c r="H23" s="259"/>
      <c r="I23" s="259"/>
      <c r="J23" s="18"/>
      <c r="K23" s="35">
        <v>0.39583333333333331</v>
      </c>
      <c r="L23" s="21">
        <v>0.8125</v>
      </c>
      <c r="M23" s="14">
        <f t="shared" ref="M23" si="5">L23-K23</f>
        <v>0.41666666666666669</v>
      </c>
    </row>
    <row r="24" spans="1:13" x14ac:dyDescent="0.25">
      <c r="A24" s="18" t="s">
        <v>65</v>
      </c>
      <c r="B24" s="11">
        <v>44761</v>
      </c>
      <c r="C24" s="259" t="s">
        <v>295</v>
      </c>
      <c r="D24" s="259"/>
      <c r="E24" s="259"/>
      <c r="F24" s="259"/>
      <c r="G24" s="259"/>
      <c r="H24" s="259"/>
      <c r="I24" s="259"/>
      <c r="J24" s="18"/>
      <c r="K24" s="35">
        <v>0.39583333333333331</v>
      </c>
      <c r="L24" s="21">
        <v>0.8125</v>
      </c>
      <c r="M24" s="14">
        <f t="shared" ref="M24:M27" si="6">L24-K24</f>
        <v>0.41666666666666669</v>
      </c>
    </row>
    <row r="25" spans="1:13" x14ac:dyDescent="0.25">
      <c r="A25" s="18" t="s">
        <v>66</v>
      </c>
      <c r="B25" s="11">
        <v>44762</v>
      </c>
      <c r="C25" s="259" t="s">
        <v>296</v>
      </c>
      <c r="D25" s="259"/>
      <c r="E25" s="259"/>
      <c r="F25" s="259"/>
      <c r="G25" s="259"/>
      <c r="H25" s="259"/>
      <c r="I25" s="259"/>
      <c r="J25" s="18"/>
      <c r="K25" s="35">
        <v>0.39583333333333331</v>
      </c>
      <c r="L25" s="21">
        <v>0.8125</v>
      </c>
      <c r="M25" s="14">
        <f t="shared" si="6"/>
        <v>0.41666666666666669</v>
      </c>
    </row>
    <row r="26" spans="1:13" x14ac:dyDescent="0.25">
      <c r="A26" s="18" t="s">
        <v>67</v>
      </c>
      <c r="B26" s="11">
        <v>44763</v>
      </c>
      <c r="C26" s="194" t="s">
        <v>297</v>
      </c>
      <c r="D26" s="194"/>
      <c r="E26" s="194"/>
      <c r="F26" s="194"/>
      <c r="G26" s="194"/>
      <c r="H26" s="194"/>
      <c r="I26" s="194"/>
      <c r="J26" s="37"/>
      <c r="K26" s="35">
        <v>0.39583333333333331</v>
      </c>
      <c r="L26" s="21">
        <v>0.8125</v>
      </c>
      <c r="M26" s="14">
        <f t="shared" si="6"/>
        <v>0.41666666666666669</v>
      </c>
    </row>
    <row r="27" spans="1:13" x14ac:dyDescent="0.25">
      <c r="A27" s="18" t="s">
        <v>68</v>
      </c>
      <c r="B27" s="11">
        <v>44764</v>
      </c>
      <c r="C27" s="336" t="s">
        <v>298</v>
      </c>
      <c r="D27" s="336"/>
      <c r="E27" s="336"/>
      <c r="F27" s="336"/>
      <c r="G27" s="336"/>
      <c r="H27" s="336"/>
      <c r="I27" s="336"/>
      <c r="J27" s="37"/>
      <c r="K27" s="35">
        <v>0.39583333333333331</v>
      </c>
      <c r="L27" s="21">
        <v>0.8125</v>
      </c>
      <c r="M27" s="14">
        <f t="shared" si="6"/>
        <v>0.41666666666666669</v>
      </c>
    </row>
    <row r="28" spans="1:13" x14ac:dyDescent="0.25">
      <c r="A28" s="42" t="s">
        <v>69</v>
      </c>
      <c r="B28" s="38">
        <v>44765</v>
      </c>
      <c r="C28" s="329" t="s">
        <v>299</v>
      </c>
      <c r="D28" s="329"/>
      <c r="E28" s="329"/>
      <c r="F28" s="329"/>
      <c r="G28" s="329"/>
      <c r="H28" s="329"/>
      <c r="I28" s="329"/>
      <c r="J28" s="44"/>
      <c r="K28" s="40"/>
      <c r="L28" s="41"/>
      <c r="M28" s="49"/>
    </row>
    <row r="29" spans="1:13" x14ac:dyDescent="0.25">
      <c r="A29" s="42" t="s">
        <v>30</v>
      </c>
      <c r="B29" s="38">
        <v>44766</v>
      </c>
      <c r="C29" s="329"/>
      <c r="D29" s="329"/>
      <c r="E29" s="329"/>
      <c r="F29" s="329"/>
      <c r="G29" s="329"/>
      <c r="H29" s="329"/>
      <c r="I29" s="329"/>
      <c r="J29" s="44"/>
      <c r="K29" s="40"/>
      <c r="L29" s="41"/>
      <c r="M29" s="49"/>
    </row>
    <row r="30" spans="1:13" x14ac:dyDescent="0.25">
      <c r="A30" s="18" t="s">
        <v>64</v>
      </c>
      <c r="B30" s="11">
        <v>44767</v>
      </c>
      <c r="C30" s="336" t="s">
        <v>301</v>
      </c>
      <c r="D30" s="336"/>
      <c r="E30" s="336"/>
      <c r="F30" s="336"/>
      <c r="G30" s="336"/>
      <c r="H30" s="336"/>
      <c r="I30" s="336"/>
      <c r="J30" s="18"/>
      <c r="K30" s="35">
        <v>0.39583333333333331</v>
      </c>
      <c r="L30" s="21">
        <v>0.8125</v>
      </c>
      <c r="M30" s="14">
        <f t="shared" ref="M30" si="7">L30-K30</f>
        <v>0.41666666666666669</v>
      </c>
    </row>
    <row r="31" spans="1:13" x14ac:dyDescent="0.25">
      <c r="A31" s="18" t="s">
        <v>65</v>
      </c>
      <c r="B31" s="11">
        <v>44768</v>
      </c>
      <c r="C31" s="336" t="s">
        <v>300</v>
      </c>
      <c r="D31" s="336"/>
      <c r="E31" s="336"/>
      <c r="F31" s="336"/>
      <c r="G31" s="336"/>
      <c r="H31" s="336"/>
      <c r="I31" s="336"/>
      <c r="J31" s="18"/>
      <c r="K31" s="35">
        <v>0.39583333333333331</v>
      </c>
      <c r="L31" s="21">
        <v>0.8125</v>
      </c>
      <c r="M31" s="14">
        <f t="shared" ref="M31:M34" si="8">L31-K31</f>
        <v>0.41666666666666669</v>
      </c>
    </row>
    <row r="32" spans="1:13" x14ac:dyDescent="0.25">
      <c r="A32" s="18" t="s">
        <v>66</v>
      </c>
      <c r="B32" s="11">
        <v>44769</v>
      </c>
      <c r="C32" s="336" t="s">
        <v>302</v>
      </c>
      <c r="D32" s="336"/>
      <c r="E32" s="336"/>
      <c r="F32" s="336"/>
      <c r="G32" s="336"/>
      <c r="H32" s="336"/>
      <c r="I32" s="336"/>
      <c r="J32" s="18"/>
      <c r="K32" s="35">
        <v>0.39583333333333331</v>
      </c>
      <c r="L32" s="21">
        <v>0.8125</v>
      </c>
      <c r="M32" s="14">
        <f t="shared" si="8"/>
        <v>0.41666666666666669</v>
      </c>
    </row>
    <row r="33" spans="1:13" x14ac:dyDescent="0.25">
      <c r="A33" s="18" t="s">
        <v>67</v>
      </c>
      <c r="B33" s="11">
        <v>44770</v>
      </c>
      <c r="C33" s="194" t="s">
        <v>303</v>
      </c>
      <c r="D33" s="194"/>
      <c r="E33" s="194"/>
      <c r="F33" s="194"/>
      <c r="G33" s="194"/>
      <c r="H33" s="194"/>
      <c r="I33" s="194"/>
      <c r="J33" s="18"/>
      <c r="K33" s="35">
        <v>0.39583333333333331</v>
      </c>
      <c r="L33" s="21">
        <v>0.8125</v>
      </c>
      <c r="M33" s="14">
        <f t="shared" si="8"/>
        <v>0.41666666666666669</v>
      </c>
    </row>
    <row r="34" spans="1:13" x14ac:dyDescent="0.25">
      <c r="A34" s="18" t="s">
        <v>68</v>
      </c>
      <c r="B34" s="11">
        <v>44771</v>
      </c>
      <c r="C34" s="280" t="s">
        <v>303</v>
      </c>
      <c r="D34" s="280"/>
      <c r="E34" s="280"/>
      <c r="F34" s="280"/>
      <c r="G34" s="280"/>
      <c r="H34" s="280"/>
      <c r="I34" s="280"/>
      <c r="J34" s="18"/>
      <c r="K34" s="35">
        <v>0.39583333333333331</v>
      </c>
      <c r="L34" s="21">
        <v>0.8125</v>
      </c>
      <c r="M34" s="14">
        <f t="shared" si="8"/>
        <v>0.41666666666666669</v>
      </c>
    </row>
    <row r="35" spans="1:13" x14ac:dyDescent="0.25">
      <c r="A35" s="42" t="s">
        <v>69</v>
      </c>
      <c r="B35" s="38">
        <v>44772</v>
      </c>
      <c r="C35" s="281"/>
      <c r="D35" s="281"/>
      <c r="E35" s="281"/>
      <c r="F35" s="281"/>
      <c r="G35" s="281"/>
      <c r="H35" s="281"/>
      <c r="I35" s="281"/>
      <c r="J35" s="42"/>
      <c r="K35" s="48"/>
      <c r="L35" s="48"/>
      <c r="M35" s="49"/>
    </row>
    <row r="36" spans="1:13" x14ac:dyDescent="0.25">
      <c r="A36" s="42" t="s">
        <v>30</v>
      </c>
      <c r="B36" s="38">
        <v>44773</v>
      </c>
      <c r="C36" s="281"/>
      <c r="D36" s="281"/>
      <c r="E36" s="281"/>
      <c r="F36" s="281"/>
      <c r="G36" s="281"/>
      <c r="H36" s="281"/>
      <c r="I36" s="281"/>
      <c r="J36" s="42"/>
      <c r="K36" s="48"/>
      <c r="L36" s="48"/>
      <c r="M36" s="49"/>
    </row>
  </sheetData>
  <mergeCells count="37">
    <mergeCell ref="C32:I32"/>
    <mergeCell ref="C33:I33"/>
    <mergeCell ref="C34:I34"/>
    <mergeCell ref="C35:I35"/>
    <mergeCell ref="C36:I36"/>
    <mergeCell ref="C12:I12"/>
    <mergeCell ref="C13:I13"/>
    <mergeCell ref="C19:I19"/>
    <mergeCell ref="C20:I20"/>
    <mergeCell ref="C26:I26"/>
    <mergeCell ref="C21:I21"/>
    <mergeCell ref="C22:I22"/>
    <mergeCell ref="C23:I23"/>
    <mergeCell ref="C24:I24"/>
    <mergeCell ref="C25:I25"/>
    <mergeCell ref="C14:I14"/>
    <mergeCell ref="C15:I15"/>
    <mergeCell ref="C16:I16"/>
    <mergeCell ref="C17:I17"/>
    <mergeCell ref="C18:I18"/>
    <mergeCell ref="C27:I27"/>
    <mergeCell ref="C28:I28"/>
    <mergeCell ref="C29:I29"/>
    <mergeCell ref="C30:I30"/>
    <mergeCell ref="C31:I31"/>
    <mergeCell ref="C11:I11"/>
    <mergeCell ref="B1:M1"/>
    <mergeCell ref="C2:E2"/>
    <mergeCell ref="G2:M2"/>
    <mergeCell ref="C3:E3"/>
    <mergeCell ref="G3:M3"/>
    <mergeCell ref="C5:J5"/>
    <mergeCell ref="C6:I6"/>
    <mergeCell ref="C7:I7"/>
    <mergeCell ref="C8:I8"/>
    <mergeCell ref="C9:I9"/>
    <mergeCell ref="C10:I10"/>
  </mergeCells>
  <phoneticPr fontId="6" type="noConversion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76FD-0960-417C-93FC-C1EF5BBB7C02}">
  <dimension ref="A1:M37"/>
  <sheetViews>
    <sheetView topLeftCell="A9" zoomScale="115" zoomScaleNormal="115" workbookViewId="0">
      <selection activeCell="B37" sqref="B37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6" max="6" width="11.7109375" bestFit="1" customWidth="1"/>
    <col min="9" max="9" width="34.42578125" customWidth="1"/>
    <col min="11" max="11" width="11.5703125" style="23" bestFit="1" customWidth="1"/>
    <col min="12" max="12" width="9.140625" style="23"/>
    <col min="13" max="13" width="11" bestFit="1" customWidth="1"/>
  </cols>
  <sheetData>
    <row r="1" spans="1:13" ht="18.75" x14ac:dyDescent="0.3">
      <c r="A1" s="18"/>
      <c r="B1" s="285" t="s">
        <v>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x14ac:dyDescent="0.25">
      <c r="A2" s="18"/>
      <c r="B2" s="79" t="s">
        <v>1</v>
      </c>
      <c r="C2" s="286" t="s">
        <v>34</v>
      </c>
      <c r="D2" s="286"/>
      <c r="E2" s="286"/>
      <c r="F2" s="79" t="s">
        <v>8</v>
      </c>
      <c r="G2" s="286" t="s">
        <v>35</v>
      </c>
      <c r="H2" s="286"/>
      <c r="I2" s="286"/>
      <c r="J2" s="286"/>
      <c r="K2" s="286"/>
      <c r="L2" s="286"/>
      <c r="M2" s="286"/>
    </row>
    <row r="3" spans="1:13" x14ac:dyDescent="0.25">
      <c r="A3" s="18"/>
      <c r="B3" s="79" t="s">
        <v>2</v>
      </c>
      <c r="C3" s="286" t="s">
        <v>36</v>
      </c>
      <c r="D3" s="286"/>
      <c r="E3" s="286"/>
      <c r="F3" s="79" t="s">
        <v>3</v>
      </c>
      <c r="G3" s="286" t="s">
        <v>13</v>
      </c>
      <c r="H3" s="286"/>
      <c r="I3" s="286"/>
      <c r="J3" s="286"/>
      <c r="K3" s="286"/>
      <c r="L3" s="286"/>
      <c r="M3" s="286"/>
    </row>
    <row r="4" spans="1:13" x14ac:dyDescent="0.25">
      <c r="A4" s="18"/>
      <c r="B4" s="80"/>
      <c r="C4" s="80"/>
      <c r="D4" s="80"/>
      <c r="E4" s="80"/>
      <c r="F4" s="80"/>
      <c r="G4" s="80"/>
      <c r="H4" s="80"/>
      <c r="I4" s="80"/>
      <c r="J4" s="80"/>
      <c r="K4" s="81"/>
      <c r="L4" s="82"/>
      <c r="M4" s="82"/>
    </row>
    <row r="5" spans="1:13" x14ac:dyDescent="0.25">
      <c r="A5" s="18"/>
      <c r="B5" s="83" t="s">
        <v>7</v>
      </c>
      <c r="C5" s="287" t="s">
        <v>4</v>
      </c>
      <c r="D5" s="287"/>
      <c r="E5" s="287"/>
      <c r="F5" s="287"/>
      <c r="G5" s="287"/>
      <c r="H5" s="287"/>
      <c r="I5" s="287"/>
      <c r="J5" s="287"/>
      <c r="K5" s="84" t="s">
        <v>5</v>
      </c>
      <c r="L5" s="85" t="s">
        <v>6</v>
      </c>
      <c r="M5" s="83"/>
    </row>
    <row r="6" spans="1:13" x14ac:dyDescent="0.25">
      <c r="A6" s="18" t="s">
        <v>66</v>
      </c>
      <c r="B6" s="87">
        <v>44713</v>
      </c>
      <c r="C6" s="341" t="s">
        <v>269</v>
      </c>
      <c r="D6" s="341"/>
      <c r="E6" s="341"/>
      <c r="F6" s="341"/>
      <c r="G6" s="341"/>
      <c r="H6" s="341"/>
      <c r="I6" s="341"/>
      <c r="J6" s="87"/>
      <c r="K6" s="35">
        <v>0.39583333333333331</v>
      </c>
      <c r="L6" s="21">
        <v>0.8125</v>
      </c>
      <c r="M6" s="14">
        <f t="shared" ref="M6" si="0">L6-K6</f>
        <v>0.41666666666666669</v>
      </c>
    </row>
    <row r="7" spans="1:13" x14ac:dyDescent="0.25">
      <c r="A7" s="18" t="s">
        <v>67</v>
      </c>
      <c r="B7" s="87">
        <v>44714</v>
      </c>
      <c r="C7" s="341" t="s">
        <v>269</v>
      </c>
      <c r="D7" s="341"/>
      <c r="E7" s="341"/>
      <c r="F7" s="341"/>
      <c r="G7" s="341"/>
      <c r="H7" s="341"/>
      <c r="I7" s="341"/>
      <c r="J7" s="87"/>
      <c r="K7" s="35">
        <v>0.39583333333333331</v>
      </c>
      <c r="L7" s="21">
        <v>0.8125</v>
      </c>
      <c r="M7" s="14">
        <f t="shared" ref="M7:M8" si="1">L7-K7</f>
        <v>0.41666666666666669</v>
      </c>
    </row>
    <row r="8" spans="1:13" ht="15" customHeight="1" x14ac:dyDescent="0.25">
      <c r="A8" s="18" t="s">
        <v>68</v>
      </c>
      <c r="B8" s="87">
        <v>44715</v>
      </c>
      <c r="C8" s="341" t="s">
        <v>269</v>
      </c>
      <c r="D8" s="341"/>
      <c r="E8" s="341"/>
      <c r="F8" s="341"/>
      <c r="G8" s="341"/>
      <c r="H8" s="341"/>
      <c r="I8" s="341"/>
      <c r="J8" s="87"/>
      <c r="K8" s="35">
        <v>0.39583333333333331</v>
      </c>
      <c r="L8" s="21">
        <v>0.8125</v>
      </c>
      <c r="M8" s="14">
        <f t="shared" si="1"/>
        <v>0.41666666666666669</v>
      </c>
    </row>
    <row r="9" spans="1:13" ht="15" customHeight="1" x14ac:dyDescent="0.25">
      <c r="A9" s="42" t="s">
        <v>69</v>
      </c>
      <c r="B9" s="38">
        <v>44716</v>
      </c>
      <c r="C9" s="283"/>
      <c r="D9" s="283"/>
      <c r="E9" s="283"/>
      <c r="F9" s="283"/>
      <c r="G9" s="283"/>
      <c r="H9" s="283"/>
      <c r="I9" s="283"/>
      <c r="J9" s="42"/>
      <c r="K9" s="40"/>
      <c r="L9" s="41"/>
      <c r="M9" s="49"/>
    </row>
    <row r="10" spans="1:13" ht="15" customHeight="1" x14ac:dyDescent="0.25">
      <c r="A10" s="42" t="s">
        <v>30</v>
      </c>
      <c r="B10" s="38">
        <v>44717</v>
      </c>
      <c r="C10" s="283"/>
      <c r="D10" s="283"/>
      <c r="E10" s="283"/>
      <c r="F10" s="283"/>
      <c r="G10" s="283"/>
      <c r="H10" s="283"/>
      <c r="I10" s="283"/>
      <c r="J10" s="42"/>
      <c r="K10" s="40"/>
      <c r="L10" s="41"/>
      <c r="M10" s="49"/>
    </row>
    <row r="11" spans="1:13" x14ac:dyDescent="0.25">
      <c r="A11" s="18" t="s">
        <v>64</v>
      </c>
      <c r="B11" s="87">
        <v>44718</v>
      </c>
      <c r="C11" s="341" t="s">
        <v>269</v>
      </c>
      <c r="D11" s="341"/>
      <c r="E11" s="341"/>
      <c r="F11" s="341"/>
      <c r="G11" s="341"/>
      <c r="H11" s="341"/>
      <c r="I11" s="341"/>
      <c r="J11" s="86"/>
      <c r="K11" s="35">
        <v>0.39583333333333331</v>
      </c>
      <c r="L11" s="21">
        <v>0.8125</v>
      </c>
      <c r="M11" s="14">
        <f t="shared" ref="M11" si="2">L11-K11</f>
        <v>0.41666666666666669</v>
      </c>
    </row>
    <row r="12" spans="1:13" ht="15" customHeight="1" x14ac:dyDescent="0.25">
      <c r="A12" s="18" t="s">
        <v>65</v>
      </c>
      <c r="B12" s="87">
        <v>44719</v>
      </c>
      <c r="C12" s="341" t="s">
        <v>269</v>
      </c>
      <c r="D12" s="341"/>
      <c r="E12" s="341"/>
      <c r="F12" s="341"/>
      <c r="G12" s="341"/>
      <c r="H12" s="341"/>
      <c r="I12" s="341"/>
      <c r="J12" s="91"/>
      <c r="K12" s="35">
        <v>0.39583333333333331</v>
      </c>
      <c r="L12" s="21">
        <v>0.8125</v>
      </c>
      <c r="M12" s="14">
        <f t="shared" ref="M12:M14" si="3">L12-K12</f>
        <v>0.41666666666666669</v>
      </c>
    </row>
    <row r="13" spans="1:13" x14ac:dyDescent="0.25">
      <c r="A13" s="18" t="s">
        <v>66</v>
      </c>
      <c r="B13" s="87">
        <v>44720</v>
      </c>
      <c r="C13" s="341" t="s">
        <v>269</v>
      </c>
      <c r="D13" s="341"/>
      <c r="E13" s="341"/>
      <c r="F13" s="341"/>
      <c r="G13" s="341"/>
      <c r="H13" s="341"/>
      <c r="I13" s="341"/>
      <c r="J13" s="91"/>
      <c r="K13" s="35">
        <v>0.39583333333333331</v>
      </c>
      <c r="L13" s="21">
        <v>0.8125</v>
      </c>
      <c r="M13" s="14">
        <f t="shared" si="3"/>
        <v>0.41666666666666669</v>
      </c>
    </row>
    <row r="14" spans="1:13" x14ac:dyDescent="0.25">
      <c r="A14" s="18" t="s">
        <v>67</v>
      </c>
      <c r="B14" s="87">
        <v>44721</v>
      </c>
      <c r="C14" s="341" t="s">
        <v>269</v>
      </c>
      <c r="D14" s="341"/>
      <c r="E14" s="341"/>
      <c r="F14" s="341"/>
      <c r="G14" s="341"/>
      <c r="H14" s="341"/>
      <c r="I14" s="341"/>
      <c r="J14" s="91"/>
      <c r="K14" s="35">
        <v>0.39583333333333331</v>
      </c>
      <c r="L14" s="21">
        <v>0.8125</v>
      </c>
      <c r="M14" s="14">
        <f t="shared" si="3"/>
        <v>0.41666666666666669</v>
      </c>
    </row>
    <row r="15" spans="1:13" ht="15" customHeight="1" x14ac:dyDescent="0.25">
      <c r="A15" s="18" t="s">
        <v>68</v>
      </c>
      <c r="B15" s="87">
        <v>44722</v>
      </c>
      <c r="C15" s="346" t="s">
        <v>268</v>
      </c>
      <c r="D15" s="347"/>
      <c r="E15" s="347"/>
      <c r="F15" s="347"/>
      <c r="G15" s="347"/>
      <c r="H15" s="347"/>
      <c r="I15" s="348"/>
      <c r="J15" s="91"/>
      <c r="K15" s="88"/>
      <c r="L15" s="89"/>
      <c r="M15" s="90"/>
    </row>
    <row r="16" spans="1:13" x14ac:dyDescent="0.25">
      <c r="A16" s="42" t="s">
        <v>69</v>
      </c>
      <c r="B16" s="38">
        <v>44723</v>
      </c>
      <c r="C16" s="309"/>
      <c r="D16" s="310"/>
      <c r="E16" s="310"/>
      <c r="F16" s="310"/>
      <c r="G16" s="310"/>
      <c r="H16" s="310"/>
      <c r="I16" s="311"/>
      <c r="J16" s="42"/>
      <c r="K16" s="40"/>
      <c r="L16" s="41"/>
      <c r="M16" s="49"/>
    </row>
    <row r="17" spans="1:13" x14ac:dyDescent="0.25">
      <c r="A17" s="42" t="s">
        <v>30</v>
      </c>
      <c r="B17" s="38">
        <v>44724</v>
      </c>
      <c r="C17" s="284"/>
      <c r="D17" s="284"/>
      <c r="E17" s="284"/>
      <c r="F17" s="284"/>
      <c r="G17" s="284"/>
      <c r="H17" s="284"/>
      <c r="I17" s="284"/>
      <c r="J17" s="42"/>
      <c r="K17" s="40"/>
      <c r="L17" s="41"/>
      <c r="M17" s="49"/>
    </row>
    <row r="18" spans="1:13" ht="15" customHeight="1" x14ac:dyDescent="0.25">
      <c r="A18" s="18" t="s">
        <v>64</v>
      </c>
      <c r="B18" s="87">
        <v>44725</v>
      </c>
      <c r="C18" s="275" t="s">
        <v>270</v>
      </c>
      <c r="D18" s="275"/>
      <c r="E18" s="275"/>
      <c r="F18" s="275"/>
      <c r="G18" s="275"/>
      <c r="H18" s="275"/>
      <c r="I18" s="275"/>
      <c r="J18" s="92"/>
      <c r="K18" s="35">
        <v>0.39583333333333331</v>
      </c>
      <c r="L18" s="21">
        <v>0.85416666666666663</v>
      </c>
      <c r="M18" s="14">
        <f t="shared" ref="M18:M19" si="4">L18-K18</f>
        <v>0.45833333333333331</v>
      </c>
    </row>
    <row r="19" spans="1:13" x14ac:dyDescent="0.25">
      <c r="A19" s="18" t="s">
        <v>65</v>
      </c>
      <c r="B19" s="87">
        <v>44726</v>
      </c>
      <c r="C19" s="343" t="s">
        <v>271</v>
      </c>
      <c r="D19" s="344"/>
      <c r="E19" s="344"/>
      <c r="F19" s="344"/>
      <c r="G19" s="344"/>
      <c r="H19" s="344"/>
      <c r="I19" s="345"/>
      <c r="J19" s="91"/>
      <c r="K19" s="35">
        <v>0.39583333333333331</v>
      </c>
      <c r="L19" s="21">
        <v>0.8125</v>
      </c>
      <c r="M19" s="14">
        <f t="shared" si="4"/>
        <v>0.41666666666666669</v>
      </c>
    </row>
    <row r="20" spans="1:13" x14ac:dyDescent="0.25">
      <c r="A20" s="18" t="s">
        <v>66</v>
      </c>
      <c r="B20" s="87">
        <v>44727</v>
      </c>
      <c r="C20" s="343" t="s">
        <v>272</v>
      </c>
      <c r="D20" s="344"/>
      <c r="E20" s="344"/>
      <c r="F20" s="344"/>
      <c r="G20" s="344"/>
      <c r="H20" s="344"/>
      <c r="I20" s="345"/>
      <c r="J20" s="91"/>
      <c r="K20" s="35">
        <v>0.39583333333333331</v>
      </c>
      <c r="L20" s="21">
        <v>0.89583333333333337</v>
      </c>
      <c r="M20" s="14">
        <f t="shared" ref="M20" si="5">L20-K20</f>
        <v>0.5</v>
      </c>
    </row>
    <row r="21" spans="1:13" ht="15" customHeight="1" x14ac:dyDescent="0.25">
      <c r="A21" s="18" t="s">
        <v>67</v>
      </c>
      <c r="B21" s="87">
        <v>44728</v>
      </c>
      <c r="C21" s="275" t="s">
        <v>274</v>
      </c>
      <c r="D21" s="275"/>
      <c r="E21" s="275"/>
      <c r="F21" s="275"/>
      <c r="G21" s="275"/>
      <c r="H21" s="275"/>
      <c r="I21" s="275"/>
      <c r="J21" s="86"/>
      <c r="K21" s="35">
        <v>0.39583333333333331</v>
      </c>
      <c r="L21" s="21">
        <v>0.85416666666666663</v>
      </c>
      <c r="M21" s="14">
        <f t="shared" ref="M21:M22" si="6">L21-K21</f>
        <v>0.45833333333333331</v>
      </c>
    </row>
    <row r="22" spans="1:13" x14ac:dyDescent="0.25">
      <c r="A22" s="18" t="s">
        <v>68</v>
      </c>
      <c r="B22" s="87">
        <v>44729</v>
      </c>
      <c r="C22" s="275" t="s">
        <v>273</v>
      </c>
      <c r="D22" s="275"/>
      <c r="E22" s="275"/>
      <c r="F22" s="275"/>
      <c r="G22" s="275"/>
      <c r="H22" s="275"/>
      <c r="I22" s="275"/>
      <c r="J22" s="86"/>
      <c r="K22" s="35">
        <v>0.39583333333333331</v>
      </c>
      <c r="L22" s="21">
        <v>0.89583333333333337</v>
      </c>
      <c r="M22" s="14">
        <f t="shared" si="6"/>
        <v>0.5</v>
      </c>
    </row>
    <row r="23" spans="1:13" x14ac:dyDescent="0.25">
      <c r="A23" s="42" t="s">
        <v>69</v>
      </c>
      <c r="B23" s="38">
        <v>44730</v>
      </c>
      <c r="C23" s="284"/>
      <c r="D23" s="284"/>
      <c r="E23" s="284"/>
      <c r="F23" s="284"/>
      <c r="G23" s="284"/>
      <c r="H23" s="284"/>
      <c r="I23" s="284"/>
      <c r="J23" s="42"/>
      <c r="K23" s="40"/>
      <c r="L23" s="41"/>
      <c r="M23" s="49"/>
    </row>
    <row r="24" spans="1:13" x14ac:dyDescent="0.25">
      <c r="A24" s="42" t="s">
        <v>30</v>
      </c>
      <c r="B24" s="38">
        <v>44731</v>
      </c>
      <c r="C24" s="284"/>
      <c r="D24" s="284"/>
      <c r="E24" s="284"/>
      <c r="F24" s="284"/>
      <c r="G24" s="284"/>
      <c r="H24" s="284"/>
      <c r="I24" s="284"/>
      <c r="J24" s="42"/>
      <c r="K24" s="40"/>
      <c r="L24" s="41"/>
      <c r="M24" s="49"/>
    </row>
    <row r="25" spans="1:13" x14ac:dyDescent="0.25">
      <c r="A25" s="18" t="s">
        <v>64</v>
      </c>
      <c r="B25" s="87">
        <v>44732</v>
      </c>
      <c r="C25" s="275" t="s">
        <v>278</v>
      </c>
      <c r="D25" s="275"/>
      <c r="E25" s="275"/>
      <c r="F25" s="275"/>
      <c r="G25" s="275"/>
      <c r="H25" s="275"/>
      <c r="I25" s="275"/>
      <c r="J25" s="86"/>
      <c r="K25" s="35">
        <v>0.39583333333333331</v>
      </c>
      <c r="L25" s="21">
        <v>0.8125</v>
      </c>
      <c r="M25" s="14">
        <f t="shared" ref="M25" si="7">L25-K25</f>
        <v>0.41666666666666669</v>
      </c>
    </row>
    <row r="26" spans="1:13" x14ac:dyDescent="0.25">
      <c r="A26" s="18" t="s">
        <v>65</v>
      </c>
      <c r="B26" s="87">
        <v>44733</v>
      </c>
      <c r="C26" s="276" t="s">
        <v>279</v>
      </c>
      <c r="D26" s="276"/>
      <c r="E26" s="276"/>
      <c r="F26" s="276"/>
      <c r="G26" s="276"/>
      <c r="H26" s="276"/>
      <c r="I26" s="276"/>
      <c r="J26" s="93"/>
      <c r="K26" s="35">
        <v>0.39583333333333331</v>
      </c>
      <c r="L26" s="21">
        <v>0.8125</v>
      </c>
      <c r="M26" s="14">
        <f t="shared" ref="M26" si="8">L26-K26</f>
        <v>0.41666666666666669</v>
      </c>
    </row>
    <row r="27" spans="1:13" x14ac:dyDescent="0.25">
      <c r="A27" s="18" t="s">
        <v>66</v>
      </c>
      <c r="B27" s="87">
        <v>44734</v>
      </c>
      <c r="C27" s="342" t="s">
        <v>280</v>
      </c>
      <c r="D27" s="342"/>
      <c r="E27" s="342"/>
      <c r="F27" s="342"/>
      <c r="G27" s="342"/>
      <c r="H27" s="342"/>
      <c r="I27" s="342"/>
      <c r="J27" s="93"/>
      <c r="K27" s="35">
        <v>0.39583333333333331</v>
      </c>
      <c r="L27" s="21">
        <v>0.8125</v>
      </c>
      <c r="M27" s="14">
        <f t="shared" ref="M27:M28" si="9">L27-K27</f>
        <v>0.41666666666666669</v>
      </c>
    </row>
    <row r="28" spans="1:13" x14ac:dyDescent="0.25">
      <c r="A28" s="18" t="s">
        <v>67</v>
      </c>
      <c r="B28" s="87">
        <v>44735</v>
      </c>
      <c r="C28" s="342" t="s">
        <v>281</v>
      </c>
      <c r="D28" s="342"/>
      <c r="E28" s="342"/>
      <c r="F28" s="342"/>
      <c r="G28" s="342"/>
      <c r="H28" s="342"/>
      <c r="I28" s="342"/>
      <c r="J28" s="93"/>
      <c r="K28" s="35">
        <v>0.39583333333333331</v>
      </c>
      <c r="L28" s="21">
        <v>0.8125</v>
      </c>
      <c r="M28" s="14">
        <f t="shared" si="9"/>
        <v>0.41666666666666669</v>
      </c>
    </row>
    <row r="29" spans="1:13" x14ac:dyDescent="0.25">
      <c r="A29" s="18" t="s">
        <v>68</v>
      </c>
      <c r="B29" s="87">
        <v>44736</v>
      </c>
      <c r="C29" s="342" t="s">
        <v>275</v>
      </c>
      <c r="D29" s="342"/>
      <c r="E29" s="342"/>
      <c r="F29" s="342"/>
      <c r="G29" s="342"/>
      <c r="H29" s="342"/>
      <c r="I29" s="342"/>
      <c r="J29" s="93"/>
      <c r="K29" s="35">
        <v>0.39583333333333331</v>
      </c>
      <c r="L29" s="21">
        <v>0.8125</v>
      </c>
      <c r="M29" s="14">
        <f t="shared" ref="M29" si="10">L29-K29</f>
        <v>0.41666666666666669</v>
      </c>
    </row>
    <row r="30" spans="1:13" x14ac:dyDescent="0.25">
      <c r="A30" s="42" t="s">
        <v>69</v>
      </c>
      <c r="B30" s="38">
        <v>44737</v>
      </c>
      <c r="C30" s="329"/>
      <c r="D30" s="329"/>
      <c r="E30" s="329"/>
      <c r="F30" s="329"/>
      <c r="G30" s="329"/>
      <c r="H30" s="329"/>
      <c r="I30" s="329"/>
      <c r="J30" s="42"/>
      <c r="K30" s="40"/>
      <c r="L30" s="41"/>
      <c r="M30" s="49"/>
    </row>
    <row r="31" spans="1:13" x14ac:dyDescent="0.25">
      <c r="A31" s="42" t="s">
        <v>30</v>
      </c>
      <c r="B31" s="38">
        <v>44738</v>
      </c>
      <c r="C31" s="329"/>
      <c r="D31" s="329"/>
      <c r="E31" s="329"/>
      <c r="F31" s="329"/>
      <c r="G31" s="329"/>
      <c r="H31" s="329"/>
      <c r="I31" s="329"/>
      <c r="J31" s="42"/>
      <c r="K31" s="40"/>
      <c r="L31" s="41"/>
      <c r="M31" s="49"/>
    </row>
    <row r="32" spans="1:13" x14ac:dyDescent="0.25">
      <c r="A32" s="18" t="s">
        <v>64</v>
      </c>
      <c r="B32" s="87">
        <v>44739</v>
      </c>
      <c r="C32" s="336" t="s">
        <v>276</v>
      </c>
      <c r="D32" s="336"/>
      <c r="E32" s="336"/>
      <c r="F32" s="336"/>
      <c r="G32" s="336"/>
      <c r="H32" s="336"/>
      <c r="I32" s="336"/>
      <c r="J32" s="18"/>
      <c r="K32" s="35">
        <v>0.39583333333333331</v>
      </c>
      <c r="L32" s="21">
        <v>0.8125</v>
      </c>
      <c r="M32" s="14">
        <f t="shared" ref="M32" si="11">L32-K32</f>
        <v>0.41666666666666669</v>
      </c>
    </row>
    <row r="33" spans="1:13" x14ac:dyDescent="0.25">
      <c r="A33" s="18" t="s">
        <v>65</v>
      </c>
      <c r="B33" s="87">
        <v>44740</v>
      </c>
      <c r="C33" s="276" t="s">
        <v>277</v>
      </c>
      <c r="D33" s="276"/>
      <c r="E33" s="276"/>
      <c r="F33" s="276"/>
      <c r="G33" s="276"/>
      <c r="H33" s="276"/>
      <c r="I33" s="276"/>
      <c r="J33" s="86"/>
      <c r="K33" s="35">
        <v>0.39583333333333331</v>
      </c>
      <c r="L33" s="21">
        <v>0.8125</v>
      </c>
      <c r="M33" s="14">
        <f t="shared" ref="M33" si="12">L33-K33</f>
        <v>0.41666666666666669</v>
      </c>
    </row>
    <row r="34" spans="1:13" x14ac:dyDescent="0.25">
      <c r="A34" s="86" t="s">
        <v>66</v>
      </c>
      <c r="B34" s="87">
        <v>44741</v>
      </c>
      <c r="C34" s="349" t="s">
        <v>282</v>
      </c>
      <c r="D34" s="349"/>
      <c r="E34" s="349"/>
      <c r="F34" s="349"/>
      <c r="G34" s="349"/>
      <c r="H34" s="349"/>
      <c r="I34" s="349"/>
      <c r="J34" s="86"/>
      <c r="K34" s="35">
        <v>0.39583333333333331</v>
      </c>
      <c r="L34" s="21">
        <v>0.8125</v>
      </c>
      <c r="M34" s="14">
        <f t="shared" ref="M34:M35" si="13">L34-K34</f>
        <v>0.41666666666666669</v>
      </c>
    </row>
    <row r="35" spans="1:13" x14ac:dyDescent="0.25">
      <c r="A35" s="86" t="s">
        <v>67</v>
      </c>
      <c r="B35" s="87">
        <v>44742</v>
      </c>
      <c r="C35" s="280" t="s">
        <v>283</v>
      </c>
      <c r="D35" s="280"/>
      <c r="E35" s="280"/>
      <c r="F35" s="280"/>
      <c r="G35" s="280"/>
      <c r="H35" s="280"/>
      <c r="I35" s="280"/>
      <c r="J35" s="18"/>
      <c r="K35" s="35">
        <v>0.39583333333333331</v>
      </c>
      <c r="L35" s="21">
        <v>0.8125</v>
      </c>
      <c r="M35" s="14">
        <f t="shared" si="13"/>
        <v>0.41666666666666669</v>
      </c>
    </row>
    <row r="36" spans="1:13" x14ac:dyDescent="0.25">
      <c r="A36" s="94"/>
      <c r="B36" s="2"/>
      <c r="C36" s="350"/>
      <c r="D36" s="350"/>
      <c r="E36" s="350"/>
      <c r="F36" s="350"/>
      <c r="G36" s="350"/>
      <c r="H36" s="350"/>
      <c r="I36" s="350"/>
      <c r="M36" s="7"/>
    </row>
    <row r="37" spans="1:13" x14ac:dyDescent="0.25">
      <c r="A37" s="94"/>
    </row>
  </sheetData>
  <mergeCells count="37">
    <mergeCell ref="C32:I32"/>
    <mergeCell ref="C33:I33"/>
    <mergeCell ref="C34:I34"/>
    <mergeCell ref="C35:I35"/>
    <mergeCell ref="C36:I36"/>
    <mergeCell ref="C19:I19"/>
    <mergeCell ref="C20:I20"/>
    <mergeCell ref="C12:I12"/>
    <mergeCell ref="C13:I13"/>
    <mergeCell ref="C26:I26"/>
    <mergeCell ref="C14:I14"/>
    <mergeCell ref="C15:I15"/>
    <mergeCell ref="C16:I16"/>
    <mergeCell ref="C17:I17"/>
    <mergeCell ref="C18:I18"/>
    <mergeCell ref="C29:I29"/>
    <mergeCell ref="C30:I30"/>
    <mergeCell ref="C31:I31"/>
    <mergeCell ref="C21:I21"/>
    <mergeCell ref="C22:I22"/>
    <mergeCell ref="C23:I23"/>
    <mergeCell ref="C24:I24"/>
    <mergeCell ref="C25:I25"/>
    <mergeCell ref="C27:I27"/>
    <mergeCell ref="C28:I28"/>
    <mergeCell ref="C11:I11"/>
    <mergeCell ref="B1:M1"/>
    <mergeCell ref="C2:E2"/>
    <mergeCell ref="G2:M2"/>
    <mergeCell ref="C3:E3"/>
    <mergeCell ref="G3:M3"/>
    <mergeCell ref="C5:J5"/>
    <mergeCell ref="C6:I6"/>
    <mergeCell ref="C7:I7"/>
    <mergeCell ref="C8:I8"/>
    <mergeCell ref="C9:I9"/>
    <mergeCell ref="C10:I10"/>
  </mergeCells>
  <phoneticPr fontId="6" type="noConversion"/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A9CF-65E8-451F-9431-2B9905D63E40}">
  <dimension ref="A1"/>
  <sheetViews>
    <sheetView workbookViewId="0">
      <selection activeCell="B37" sqref="B37"/>
    </sheetView>
  </sheetViews>
  <sheetFormatPr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F2BB-E0C6-4F60-89ED-AB8A3CE70104}">
  <dimension ref="A1:M36"/>
  <sheetViews>
    <sheetView topLeftCell="A12" zoomScale="115" workbookViewId="0">
      <selection activeCell="B37" sqref="B37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6" max="6" width="11.7109375" bestFit="1" customWidth="1"/>
    <col min="9" max="9" width="34.42578125" customWidth="1"/>
    <col min="11" max="11" width="11.5703125" style="23" bestFit="1" customWidth="1"/>
    <col min="12" max="12" width="9.140625" style="23"/>
    <col min="13" max="13" width="11" bestFit="1" customWidth="1"/>
  </cols>
  <sheetData>
    <row r="1" spans="1:13" ht="18.75" x14ac:dyDescent="0.3">
      <c r="A1" s="18"/>
      <c r="B1" s="285" t="s">
        <v>0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</row>
    <row r="2" spans="1:13" x14ac:dyDescent="0.25">
      <c r="A2" s="18"/>
      <c r="B2" s="79" t="s">
        <v>1</v>
      </c>
      <c r="C2" s="286" t="s">
        <v>34</v>
      </c>
      <c r="D2" s="286"/>
      <c r="E2" s="286"/>
      <c r="F2" s="79" t="s">
        <v>8</v>
      </c>
      <c r="G2" s="286" t="s">
        <v>35</v>
      </c>
      <c r="H2" s="286"/>
      <c r="I2" s="286"/>
      <c r="J2" s="286"/>
      <c r="K2" s="286"/>
      <c r="L2" s="286"/>
      <c r="M2" s="286"/>
    </row>
    <row r="3" spans="1:13" x14ac:dyDescent="0.25">
      <c r="A3" s="18"/>
      <c r="B3" s="79" t="s">
        <v>2</v>
      </c>
      <c r="C3" s="286" t="s">
        <v>36</v>
      </c>
      <c r="D3" s="286"/>
      <c r="E3" s="286"/>
      <c r="F3" s="79" t="s">
        <v>3</v>
      </c>
      <c r="G3" s="286" t="s">
        <v>13</v>
      </c>
      <c r="H3" s="286"/>
      <c r="I3" s="286"/>
      <c r="J3" s="286"/>
      <c r="K3" s="286"/>
      <c r="L3" s="286"/>
      <c r="M3" s="286"/>
    </row>
    <row r="4" spans="1:13" x14ac:dyDescent="0.25">
      <c r="A4" s="18"/>
      <c r="B4" s="80"/>
      <c r="C4" s="80"/>
      <c r="D4" s="80"/>
      <c r="E4" s="80"/>
      <c r="F4" s="80"/>
      <c r="G4" s="80"/>
      <c r="H4" s="80"/>
      <c r="I4" s="80"/>
      <c r="J4" s="80"/>
      <c r="K4" s="81"/>
      <c r="L4" s="82"/>
      <c r="M4" s="82"/>
    </row>
    <row r="5" spans="1:13" x14ac:dyDescent="0.25">
      <c r="A5" s="18"/>
      <c r="B5" s="83" t="s">
        <v>7</v>
      </c>
      <c r="C5" s="287" t="s">
        <v>4</v>
      </c>
      <c r="D5" s="287"/>
      <c r="E5" s="287"/>
      <c r="F5" s="287"/>
      <c r="G5" s="287"/>
      <c r="H5" s="287"/>
      <c r="I5" s="287"/>
      <c r="J5" s="287"/>
      <c r="K5" s="84" t="s">
        <v>5</v>
      </c>
      <c r="L5" s="85" t="s">
        <v>6</v>
      </c>
      <c r="M5" s="83"/>
    </row>
    <row r="6" spans="1:13" x14ac:dyDescent="0.25">
      <c r="A6" s="42" t="s">
        <v>30</v>
      </c>
      <c r="B6" s="38">
        <v>44682</v>
      </c>
      <c r="C6" s="283"/>
      <c r="D6" s="283"/>
      <c r="E6" s="283"/>
      <c r="F6" s="283"/>
      <c r="G6" s="283"/>
      <c r="H6" s="283"/>
      <c r="I6" s="283"/>
      <c r="J6" s="38"/>
      <c r="K6" s="40"/>
      <c r="L6" s="41"/>
      <c r="M6" s="49">
        <f t="shared" ref="M6:M36" si="0">L6-K6</f>
        <v>0</v>
      </c>
    </row>
    <row r="7" spans="1:13" x14ac:dyDescent="0.25">
      <c r="A7" s="18" t="s">
        <v>64</v>
      </c>
      <c r="B7" s="11">
        <v>44683</v>
      </c>
      <c r="C7" s="282" t="s">
        <v>255</v>
      </c>
      <c r="D7" s="282"/>
      <c r="E7" s="282"/>
      <c r="F7" s="282"/>
      <c r="G7" s="282"/>
      <c r="H7" s="282"/>
      <c r="I7" s="282"/>
      <c r="J7" s="11"/>
      <c r="K7" s="35">
        <v>0.39583333333333331</v>
      </c>
      <c r="L7" s="21">
        <v>0.8125</v>
      </c>
      <c r="M7" s="14">
        <f t="shared" si="0"/>
        <v>0.41666666666666669</v>
      </c>
    </row>
    <row r="8" spans="1:13" ht="15" customHeight="1" x14ac:dyDescent="0.25">
      <c r="A8" s="18" t="s">
        <v>65</v>
      </c>
      <c r="B8" s="11">
        <v>44684</v>
      </c>
      <c r="C8" s="194" t="s">
        <v>257</v>
      </c>
      <c r="D8" s="194"/>
      <c r="E8" s="194"/>
      <c r="F8" s="194"/>
      <c r="G8" s="194"/>
      <c r="H8" s="194"/>
      <c r="I8" s="194"/>
      <c r="J8" s="11"/>
      <c r="K8" s="35">
        <v>0.39583333333333331</v>
      </c>
      <c r="L8" s="21">
        <v>0.8125</v>
      </c>
      <c r="M8" s="14">
        <f t="shared" si="0"/>
        <v>0.41666666666666669</v>
      </c>
    </row>
    <row r="9" spans="1:13" ht="15" customHeight="1" x14ac:dyDescent="0.25">
      <c r="A9" s="18" t="s">
        <v>66</v>
      </c>
      <c r="B9" s="11">
        <v>44685</v>
      </c>
      <c r="C9" s="194" t="s">
        <v>258</v>
      </c>
      <c r="D9" s="194"/>
      <c r="E9" s="194"/>
      <c r="F9" s="194"/>
      <c r="G9" s="194"/>
      <c r="H9" s="194"/>
      <c r="I9" s="194"/>
      <c r="J9" s="18"/>
      <c r="K9" s="35">
        <v>0.39583333333333331</v>
      </c>
      <c r="L9" s="21">
        <v>0.8125</v>
      </c>
      <c r="M9" s="14">
        <f t="shared" si="0"/>
        <v>0.41666666666666669</v>
      </c>
    </row>
    <row r="10" spans="1:13" ht="15" customHeight="1" x14ac:dyDescent="0.25">
      <c r="A10" s="18" t="s">
        <v>67</v>
      </c>
      <c r="B10" s="11">
        <v>44686</v>
      </c>
      <c r="C10" s="194" t="s">
        <v>259</v>
      </c>
      <c r="D10" s="194"/>
      <c r="E10" s="194"/>
      <c r="F10" s="194"/>
      <c r="G10" s="194"/>
      <c r="H10" s="194"/>
      <c r="I10" s="194"/>
      <c r="J10" s="18"/>
      <c r="K10" s="35">
        <v>0.39583333333333331</v>
      </c>
      <c r="L10" s="21">
        <v>0.89583333333333337</v>
      </c>
      <c r="M10" s="14">
        <f t="shared" si="0"/>
        <v>0.5</v>
      </c>
    </row>
    <row r="11" spans="1:13" x14ac:dyDescent="0.25">
      <c r="A11" s="18" t="s">
        <v>68</v>
      </c>
      <c r="B11" s="11">
        <v>44687</v>
      </c>
      <c r="C11" s="259" t="s">
        <v>256</v>
      </c>
      <c r="D11" s="259"/>
      <c r="E11" s="259"/>
      <c r="F11" s="259"/>
      <c r="G11" s="259"/>
      <c r="H11" s="259"/>
      <c r="I11" s="259"/>
      <c r="J11" s="18"/>
      <c r="K11" s="35">
        <v>0.39583333333333331</v>
      </c>
      <c r="L11" s="21">
        <v>0.47916666666666669</v>
      </c>
      <c r="M11" s="14">
        <f t="shared" si="0"/>
        <v>8.333333333333337E-2</v>
      </c>
    </row>
    <row r="12" spans="1:13" ht="15" customHeight="1" x14ac:dyDescent="0.25">
      <c r="A12" s="42" t="s">
        <v>69</v>
      </c>
      <c r="B12" s="38">
        <v>44688</v>
      </c>
      <c r="C12" s="279"/>
      <c r="D12" s="279"/>
      <c r="E12" s="279"/>
      <c r="F12" s="279"/>
      <c r="G12" s="279"/>
      <c r="H12" s="279"/>
      <c r="I12" s="279"/>
      <c r="J12" s="78"/>
      <c r="K12" s="40"/>
      <c r="L12" s="41"/>
      <c r="M12" s="49">
        <f t="shared" si="0"/>
        <v>0</v>
      </c>
    </row>
    <row r="13" spans="1:13" x14ac:dyDescent="0.25">
      <c r="A13" s="42" t="s">
        <v>30</v>
      </c>
      <c r="B13" s="38">
        <v>44689</v>
      </c>
      <c r="C13" s="279"/>
      <c r="D13" s="279"/>
      <c r="E13" s="279"/>
      <c r="F13" s="279"/>
      <c r="G13" s="279"/>
      <c r="H13" s="279"/>
      <c r="I13" s="279"/>
      <c r="J13" s="78"/>
      <c r="K13" s="40"/>
      <c r="L13" s="41"/>
      <c r="M13" s="49">
        <f t="shared" si="0"/>
        <v>0</v>
      </c>
    </row>
    <row r="14" spans="1:13" x14ac:dyDescent="0.25">
      <c r="A14" s="18" t="s">
        <v>64</v>
      </c>
      <c r="B14" s="11">
        <v>44690</v>
      </c>
      <c r="C14" s="291" t="s">
        <v>262</v>
      </c>
      <c r="D14" s="292"/>
      <c r="E14" s="292"/>
      <c r="F14" s="292"/>
      <c r="G14" s="292"/>
      <c r="H14" s="292"/>
      <c r="I14" s="293"/>
      <c r="J14" s="77"/>
      <c r="K14" s="35">
        <v>0.39583333333333331</v>
      </c>
      <c r="L14" s="21">
        <v>0.8125</v>
      </c>
      <c r="M14" s="14">
        <f t="shared" si="0"/>
        <v>0.41666666666666669</v>
      </c>
    </row>
    <row r="15" spans="1:13" ht="15" customHeight="1" x14ac:dyDescent="0.25">
      <c r="A15" s="18" t="s">
        <v>65</v>
      </c>
      <c r="B15" s="11">
        <v>44691</v>
      </c>
      <c r="C15" s="312" t="s">
        <v>260</v>
      </c>
      <c r="D15" s="313"/>
      <c r="E15" s="313"/>
      <c r="F15" s="313"/>
      <c r="G15" s="313"/>
      <c r="H15" s="313"/>
      <c r="I15" s="314"/>
      <c r="J15" s="77"/>
      <c r="K15" s="35">
        <v>0.39583333333333331</v>
      </c>
      <c r="L15" s="21">
        <v>0.8125</v>
      </c>
      <c r="M15" s="14">
        <f t="shared" si="0"/>
        <v>0.41666666666666669</v>
      </c>
    </row>
    <row r="16" spans="1:13" x14ac:dyDescent="0.25">
      <c r="A16" s="18" t="s">
        <v>66</v>
      </c>
      <c r="B16" s="11">
        <v>44692</v>
      </c>
      <c r="C16" s="299" t="s">
        <v>261</v>
      </c>
      <c r="D16" s="300"/>
      <c r="E16" s="300"/>
      <c r="F16" s="300"/>
      <c r="G16" s="300"/>
      <c r="H16" s="300"/>
      <c r="I16" s="301"/>
      <c r="J16" s="18"/>
      <c r="K16" s="35">
        <v>0.39583333333333331</v>
      </c>
      <c r="L16" s="21">
        <v>0.8125</v>
      </c>
      <c r="M16" s="14">
        <f t="shared" si="0"/>
        <v>0.41666666666666669</v>
      </c>
    </row>
    <row r="17" spans="1:13" x14ac:dyDescent="0.25">
      <c r="A17" s="18" t="s">
        <v>67</v>
      </c>
      <c r="B17" s="11">
        <v>44693</v>
      </c>
      <c r="C17" s="259" t="s">
        <v>263</v>
      </c>
      <c r="D17" s="259"/>
      <c r="E17" s="259"/>
      <c r="F17" s="259"/>
      <c r="G17" s="259"/>
      <c r="H17" s="259"/>
      <c r="I17" s="259"/>
      <c r="J17" s="18"/>
      <c r="K17" s="35">
        <v>0.39583333333333331</v>
      </c>
      <c r="L17" s="21">
        <v>0.8125</v>
      </c>
      <c r="M17" s="14">
        <f t="shared" si="0"/>
        <v>0.41666666666666669</v>
      </c>
    </row>
    <row r="18" spans="1:13" ht="15" customHeight="1" x14ac:dyDescent="0.25">
      <c r="A18" s="18" t="s">
        <v>68</v>
      </c>
      <c r="B18" s="11">
        <v>44694</v>
      </c>
      <c r="C18" s="259" t="s">
        <v>265</v>
      </c>
      <c r="D18" s="259"/>
      <c r="E18" s="259"/>
      <c r="F18" s="259"/>
      <c r="G18" s="259"/>
      <c r="H18" s="259"/>
      <c r="I18" s="259"/>
      <c r="J18" s="51"/>
      <c r="K18" s="35"/>
      <c r="L18" s="21"/>
      <c r="M18" s="14">
        <f t="shared" si="0"/>
        <v>0</v>
      </c>
    </row>
    <row r="19" spans="1:13" x14ac:dyDescent="0.25">
      <c r="A19" s="42" t="s">
        <v>69</v>
      </c>
      <c r="B19" s="38">
        <v>44695</v>
      </c>
      <c r="C19" s="330" t="s">
        <v>245</v>
      </c>
      <c r="D19" s="331"/>
      <c r="E19" s="331"/>
      <c r="F19" s="331"/>
      <c r="G19" s="331"/>
      <c r="H19" s="331"/>
      <c r="I19" s="332"/>
      <c r="J19" s="78"/>
      <c r="K19" s="78"/>
      <c r="L19" s="78"/>
      <c r="M19" s="49">
        <f t="shared" si="0"/>
        <v>0</v>
      </c>
    </row>
    <row r="20" spans="1:13" x14ac:dyDescent="0.25">
      <c r="A20" s="42" t="s">
        <v>30</v>
      </c>
      <c r="B20" s="38">
        <v>44696</v>
      </c>
      <c r="C20" s="351"/>
      <c r="D20" s="352"/>
      <c r="E20" s="352"/>
      <c r="F20" s="352"/>
      <c r="G20" s="352"/>
      <c r="H20" s="352"/>
      <c r="I20" s="353"/>
      <c r="J20" s="78"/>
      <c r="K20" s="78"/>
      <c r="L20" s="78"/>
      <c r="M20" s="49">
        <f t="shared" si="0"/>
        <v>0</v>
      </c>
    </row>
    <row r="21" spans="1:13" ht="15" customHeight="1" x14ac:dyDescent="0.25">
      <c r="A21" s="18" t="s">
        <v>64</v>
      </c>
      <c r="B21" s="11">
        <v>44697</v>
      </c>
      <c r="C21" s="259" t="s">
        <v>264</v>
      </c>
      <c r="D21" s="259"/>
      <c r="E21" s="259"/>
      <c r="F21" s="259"/>
      <c r="G21" s="259"/>
      <c r="H21" s="259"/>
      <c r="I21" s="259"/>
      <c r="J21" s="18"/>
      <c r="K21" s="35">
        <v>0.39583333333333331</v>
      </c>
      <c r="L21" s="21">
        <v>0.8125</v>
      </c>
      <c r="M21" s="14">
        <f t="shared" si="0"/>
        <v>0.41666666666666669</v>
      </c>
    </row>
    <row r="22" spans="1:13" x14ac:dyDescent="0.25">
      <c r="A22" s="18" t="s">
        <v>65</v>
      </c>
      <c r="B22" s="11">
        <v>44698</v>
      </c>
      <c r="C22" s="259" t="s">
        <v>264</v>
      </c>
      <c r="D22" s="259"/>
      <c r="E22" s="259"/>
      <c r="F22" s="259"/>
      <c r="G22" s="259"/>
      <c r="H22" s="259"/>
      <c r="I22" s="259"/>
      <c r="J22" s="18"/>
      <c r="K22" s="35">
        <v>0.39583333333333331</v>
      </c>
      <c r="L22" s="21">
        <v>0.8125</v>
      </c>
      <c r="M22" s="14">
        <f t="shared" si="0"/>
        <v>0.41666666666666669</v>
      </c>
    </row>
    <row r="23" spans="1:13" x14ac:dyDescent="0.25">
      <c r="A23" s="18" t="s">
        <v>66</v>
      </c>
      <c r="B23" s="11">
        <v>44699</v>
      </c>
      <c r="C23" s="259" t="s">
        <v>264</v>
      </c>
      <c r="D23" s="259"/>
      <c r="E23" s="259"/>
      <c r="F23" s="259"/>
      <c r="G23" s="259"/>
      <c r="H23" s="259"/>
      <c r="I23" s="259"/>
      <c r="J23" s="18"/>
      <c r="K23" s="35">
        <v>0.39583333333333331</v>
      </c>
      <c r="L23" s="21">
        <v>0.8125</v>
      </c>
      <c r="M23" s="14">
        <f t="shared" si="0"/>
        <v>0.41666666666666669</v>
      </c>
    </row>
    <row r="24" spans="1:13" x14ac:dyDescent="0.25">
      <c r="A24" s="18" t="s">
        <v>67</v>
      </c>
      <c r="B24" s="11">
        <v>44700</v>
      </c>
      <c r="C24" s="259" t="s">
        <v>264</v>
      </c>
      <c r="D24" s="259"/>
      <c r="E24" s="259"/>
      <c r="F24" s="259"/>
      <c r="G24" s="259"/>
      <c r="H24" s="259"/>
      <c r="I24" s="259"/>
      <c r="J24" s="18"/>
      <c r="K24" s="35">
        <v>0.39583333333333331</v>
      </c>
      <c r="L24" s="21">
        <v>0.8125</v>
      </c>
      <c r="M24" s="14">
        <f t="shared" si="0"/>
        <v>0.41666666666666669</v>
      </c>
    </row>
    <row r="25" spans="1:13" x14ac:dyDescent="0.25">
      <c r="A25" s="18" t="s">
        <v>68</v>
      </c>
      <c r="B25" s="11">
        <v>44701</v>
      </c>
      <c r="C25" s="259" t="s">
        <v>264</v>
      </c>
      <c r="D25" s="259"/>
      <c r="E25" s="259"/>
      <c r="F25" s="259"/>
      <c r="G25" s="259"/>
      <c r="H25" s="259"/>
      <c r="I25" s="259"/>
      <c r="J25" s="18"/>
      <c r="K25" s="35">
        <v>0.39583333333333331</v>
      </c>
      <c r="L25" s="21">
        <v>0.8125</v>
      </c>
      <c r="M25" s="14">
        <f t="shared" si="0"/>
        <v>0.41666666666666669</v>
      </c>
    </row>
    <row r="26" spans="1:13" x14ac:dyDescent="0.25">
      <c r="A26" s="42" t="s">
        <v>69</v>
      </c>
      <c r="B26" s="38">
        <v>44702</v>
      </c>
      <c r="C26" s="279"/>
      <c r="D26" s="279"/>
      <c r="E26" s="279"/>
      <c r="F26" s="279"/>
      <c r="G26" s="279"/>
      <c r="H26" s="279"/>
      <c r="I26" s="279"/>
      <c r="J26" s="44"/>
      <c r="K26" s="40"/>
      <c r="L26" s="41"/>
      <c r="M26" s="49">
        <f t="shared" si="0"/>
        <v>0</v>
      </c>
    </row>
    <row r="27" spans="1:13" x14ac:dyDescent="0.25">
      <c r="A27" s="42" t="s">
        <v>30</v>
      </c>
      <c r="B27" s="38">
        <v>44703</v>
      </c>
      <c r="C27" s="329"/>
      <c r="D27" s="329"/>
      <c r="E27" s="329"/>
      <c r="F27" s="329"/>
      <c r="G27" s="329"/>
      <c r="H27" s="329"/>
      <c r="I27" s="329"/>
      <c r="J27" s="44"/>
      <c r="K27" s="40"/>
      <c r="L27" s="41"/>
      <c r="M27" s="49">
        <f t="shared" si="0"/>
        <v>0</v>
      </c>
    </row>
    <row r="28" spans="1:13" x14ac:dyDescent="0.25">
      <c r="A28" s="18" t="s">
        <v>64</v>
      </c>
      <c r="B28" s="11">
        <v>44704</v>
      </c>
      <c r="C28" s="336" t="s">
        <v>266</v>
      </c>
      <c r="D28" s="336"/>
      <c r="E28" s="336"/>
      <c r="F28" s="336"/>
      <c r="G28" s="336"/>
      <c r="H28" s="336"/>
      <c r="I28" s="336"/>
      <c r="J28" s="37"/>
      <c r="K28" s="35">
        <v>0.39583333333333331</v>
      </c>
      <c r="L28" s="21">
        <v>0.8125</v>
      </c>
      <c r="M28" s="14">
        <f t="shared" si="0"/>
        <v>0.41666666666666669</v>
      </c>
    </row>
    <row r="29" spans="1:13" x14ac:dyDescent="0.25">
      <c r="A29" s="18" t="s">
        <v>65</v>
      </c>
      <c r="B29" s="11">
        <v>44705</v>
      </c>
      <c r="C29" s="336" t="s">
        <v>264</v>
      </c>
      <c r="D29" s="336"/>
      <c r="E29" s="336"/>
      <c r="F29" s="336"/>
      <c r="G29" s="336"/>
      <c r="H29" s="336"/>
      <c r="I29" s="336"/>
      <c r="J29" s="37"/>
      <c r="K29" s="35">
        <v>0.39583333333333331</v>
      </c>
      <c r="L29" s="21">
        <v>0.8125</v>
      </c>
      <c r="M29" s="14">
        <f t="shared" si="0"/>
        <v>0.41666666666666669</v>
      </c>
    </row>
    <row r="30" spans="1:13" x14ac:dyDescent="0.25">
      <c r="A30" s="18" t="s">
        <v>66</v>
      </c>
      <c r="B30" s="11">
        <v>44706</v>
      </c>
      <c r="C30" s="336" t="s">
        <v>264</v>
      </c>
      <c r="D30" s="336"/>
      <c r="E30" s="336"/>
      <c r="F30" s="336"/>
      <c r="G30" s="336"/>
      <c r="H30" s="336"/>
      <c r="I30" s="336"/>
      <c r="J30" s="18"/>
      <c r="K30" s="35">
        <v>0.39583333333333331</v>
      </c>
      <c r="L30" s="21">
        <v>0.8125</v>
      </c>
      <c r="M30" s="14">
        <f t="shared" si="0"/>
        <v>0.41666666666666669</v>
      </c>
    </row>
    <row r="31" spans="1:13" x14ac:dyDescent="0.25">
      <c r="A31" s="18" t="s">
        <v>67</v>
      </c>
      <c r="B31" s="11">
        <v>44707</v>
      </c>
      <c r="C31" s="336" t="s">
        <v>264</v>
      </c>
      <c r="D31" s="336"/>
      <c r="E31" s="336"/>
      <c r="F31" s="336"/>
      <c r="G31" s="336"/>
      <c r="H31" s="336"/>
      <c r="I31" s="336"/>
      <c r="J31" s="18"/>
      <c r="K31" s="35">
        <v>0.39583333333333331</v>
      </c>
      <c r="L31" s="21">
        <v>0.8125</v>
      </c>
      <c r="M31" s="14">
        <f t="shared" si="0"/>
        <v>0.41666666666666669</v>
      </c>
    </row>
    <row r="32" spans="1:13" x14ac:dyDescent="0.25">
      <c r="A32" s="18" t="s">
        <v>68</v>
      </c>
      <c r="B32" s="11">
        <v>44708</v>
      </c>
      <c r="C32" s="336" t="s">
        <v>264</v>
      </c>
      <c r="D32" s="336"/>
      <c r="E32" s="336"/>
      <c r="F32" s="336"/>
      <c r="G32" s="336"/>
      <c r="H32" s="336"/>
      <c r="I32" s="336"/>
      <c r="J32" s="18"/>
      <c r="K32" s="35">
        <v>0.39583333333333331</v>
      </c>
      <c r="L32" s="21">
        <v>0.8125</v>
      </c>
      <c r="M32" s="14">
        <f t="shared" si="0"/>
        <v>0.41666666666666669</v>
      </c>
    </row>
    <row r="33" spans="1:13" x14ac:dyDescent="0.25">
      <c r="A33" s="42" t="s">
        <v>69</v>
      </c>
      <c r="B33" s="38">
        <v>44709</v>
      </c>
      <c r="C33" s="279"/>
      <c r="D33" s="279"/>
      <c r="E33" s="279"/>
      <c r="F33" s="279"/>
      <c r="G33" s="279"/>
      <c r="H33" s="279"/>
      <c r="I33" s="279"/>
      <c r="J33" s="42"/>
      <c r="K33" s="40"/>
      <c r="L33" s="41"/>
      <c r="M33" s="49">
        <f t="shared" si="0"/>
        <v>0</v>
      </c>
    </row>
    <row r="34" spans="1:13" x14ac:dyDescent="0.25">
      <c r="A34" s="42" t="s">
        <v>30</v>
      </c>
      <c r="B34" s="38">
        <v>44710</v>
      </c>
      <c r="C34" s="281"/>
      <c r="D34" s="281"/>
      <c r="E34" s="281"/>
      <c r="F34" s="281"/>
      <c r="G34" s="281"/>
      <c r="H34" s="281"/>
      <c r="I34" s="281"/>
      <c r="J34" s="42"/>
      <c r="K34" s="40"/>
      <c r="L34" s="41"/>
      <c r="M34" s="49">
        <f t="shared" si="0"/>
        <v>0</v>
      </c>
    </row>
    <row r="35" spans="1:13" x14ac:dyDescent="0.25">
      <c r="A35" s="18" t="s">
        <v>64</v>
      </c>
      <c r="B35" s="11">
        <v>44711</v>
      </c>
      <c r="C35" s="280" t="s">
        <v>267</v>
      </c>
      <c r="D35" s="280"/>
      <c r="E35" s="280"/>
      <c r="F35" s="280"/>
      <c r="G35" s="280"/>
      <c r="H35" s="280"/>
      <c r="I35" s="280"/>
      <c r="J35" s="18"/>
      <c r="K35" s="22"/>
      <c r="L35" s="22"/>
      <c r="M35" s="14">
        <f t="shared" si="0"/>
        <v>0</v>
      </c>
    </row>
    <row r="36" spans="1:13" x14ac:dyDescent="0.25">
      <c r="A36" s="18" t="s">
        <v>65</v>
      </c>
      <c r="B36" s="11">
        <v>44712</v>
      </c>
      <c r="C36" s="280" t="s">
        <v>267</v>
      </c>
      <c r="D36" s="280"/>
      <c r="E36" s="280"/>
      <c r="F36" s="280"/>
      <c r="G36" s="280"/>
      <c r="H36" s="280"/>
      <c r="I36" s="280"/>
      <c r="J36" s="18"/>
      <c r="K36" s="22"/>
      <c r="L36" s="22"/>
      <c r="M36" s="14">
        <f t="shared" si="0"/>
        <v>0</v>
      </c>
    </row>
  </sheetData>
  <mergeCells count="35">
    <mergeCell ref="C36:I36"/>
    <mergeCell ref="C19:I20"/>
    <mergeCell ref="C30:I30"/>
    <mergeCell ref="C31:I31"/>
    <mergeCell ref="C32:I32"/>
    <mergeCell ref="C33:I33"/>
    <mergeCell ref="C34:I34"/>
    <mergeCell ref="C35:I35"/>
    <mergeCell ref="C24:I24"/>
    <mergeCell ref="C25:I25"/>
    <mergeCell ref="C26:I26"/>
    <mergeCell ref="C27:I27"/>
    <mergeCell ref="C28:I28"/>
    <mergeCell ref="C29:I29"/>
    <mergeCell ref="C17:I17"/>
    <mergeCell ref="C18:I18"/>
    <mergeCell ref="C21:I21"/>
    <mergeCell ref="C22:I22"/>
    <mergeCell ref="C23:I23"/>
    <mergeCell ref="C16:I16"/>
    <mergeCell ref="C6:I6"/>
    <mergeCell ref="C7:I7"/>
    <mergeCell ref="C8:I8"/>
    <mergeCell ref="C9:I9"/>
    <mergeCell ref="C10:I10"/>
    <mergeCell ref="C11:I11"/>
    <mergeCell ref="C12:I13"/>
    <mergeCell ref="C15:I15"/>
    <mergeCell ref="C5:J5"/>
    <mergeCell ref="C14:I14"/>
    <mergeCell ref="B1:M1"/>
    <mergeCell ref="C2:E2"/>
    <mergeCell ref="G2:M2"/>
    <mergeCell ref="C3:E3"/>
    <mergeCell ref="G3:M3"/>
  </mergeCells>
  <phoneticPr fontId="6" type="noConversion"/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5" zoomScale="115" workbookViewId="0">
      <selection activeCell="B37" sqref="B37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6" max="6" width="11.7109375" bestFit="1" customWidth="1"/>
    <col min="9" max="9" width="34.42578125" customWidth="1"/>
    <col min="11" max="11" width="11.5703125" style="23" bestFit="1" customWidth="1"/>
    <col min="12" max="12" width="9.140625" style="23"/>
    <col min="13" max="13" width="11" bestFit="1" customWidth="1"/>
  </cols>
  <sheetData>
    <row r="1" spans="1:13" ht="18.75" x14ac:dyDescent="0.3">
      <c r="B1" s="356" t="s">
        <v>0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</row>
    <row r="2" spans="1:13" x14ac:dyDescent="0.25">
      <c r="B2" s="5" t="s">
        <v>1</v>
      </c>
      <c r="C2" s="357" t="s">
        <v>34</v>
      </c>
      <c r="D2" s="357"/>
      <c r="E2" s="357"/>
      <c r="F2" s="5" t="s">
        <v>8</v>
      </c>
      <c r="G2" s="357" t="s">
        <v>35</v>
      </c>
      <c r="H2" s="357"/>
      <c r="I2" s="357"/>
      <c r="J2" s="357"/>
      <c r="K2" s="357"/>
      <c r="L2" s="357"/>
      <c r="M2" s="357"/>
    </row>
    <row r="3" spans="1:13" x14ac:dyDescent="0.25">
      <c r="B3" s="5" t="s">
        <v>2</v>
      </c>
      <c r="C3" s="357" t="s">
        <v>36</v>
      </c>
      <c r="D3" s="357"/>
      <c r="E3" s="357"/>
      <c r="F3" s="5" t="s">
        <v>3</v>
      </c>
      <c r="G3" s="357" t="s">
        <v>13</v>
      </c>
      <c r="H3" s="357"/>
      <c r="I3" s="357"/>
      <c r="J3" s="357"/>
      <c r="K3" s="357"/>
      <c r="L3" s="357"/>
      <c r="M3" s="357"/>
    </row>
    <row r="4" spans="1:13" x14ac:dyDescent="0.25">
      <c r="B4" s="6"/>
      <c r="C4" s="6"/>
      <c r="D4" s="6"/>
      <c r="E4" s="6"/>
      <c r="F4" s="6"/>
      <c r="G4" s="6"/>
      <c r="H4" s="6"/>
      <c r="I4" s="6"/>
      <c r="J4" s="6"/>
      <c r="K4" s="33"/>
      <c r="L4" s="19"/>
      <c r="M4" s="19"/>
    </row>
    <row r="5" spans="1:13" x14ac:dyDescent="0.25">
      <c r="B5" s="73" t="s">
        <v>7</v>
      </c>
      <c r="C5" s="355" t="s">
        <v>4</v>
      </c>
      <c r="D5" s="355"/>
      <c r="E5" s="355"/>
      <c r="F5" s="355"/>
      <c r="G5" s="355"/>
      <c r="H5" s="355"/>
      <c r="I5" s="355"/>
      <c r="J5" s="355"/>
      <c r="K5" s="74" t="s">
        <v>5</v>
      </c>
      <c r="L5" s="75" t="s">
        <v>6</v>
      </c>
      <c r="M5" s="73"/>
    </row>
    <row r="6" spans="1:13" ht="14.45" customHeight="1" x14ac:dyDescent="0.25">
      <c r="A6" t="s">
        <v>68</v>
      </c>
      <c r="B6" s="11" t="s">
        <v>205</v>
      </c>
      <c r="C6" s="282" t="s">
        <v>238</v>
      </c>
      <c r="D6" s="282"/>
      <c r="E6" s="282"/>
      <c r="F6" s="282"/>
      <c r="G6" s="282"/>
      <c r="H6" s="282"/>
      <c r="I6" s="282"/>
      <c r="J6" s="12"/>
      <c r="K6" s="35">
        <v>0.39583333333333331</v>
      </c>
      <c r="L6" s="21">
        <v>0.8125</v>
      </c>
      <c r="M6" s="14">
        <f>L6-K6</f>
        <v>0.41666666666666669</v>
      </c>
    </row>
    <row r="7" spans="1:13" x14ac:dyDescent="0.25">
      <c r="A7" s="61" t="s">
        <v>69</v>
      </c>
      <c r="B7" s="38" t="s">
        <v>206</v>
      </c>
      <c r="C7" s="283"/>
      <c r="D7" s="283"/>
      <c r="E7" s="283"/>
      <c r="F7" s="283"/>
      <c r="G7" s="283"/>
      <c r="H7" s="283"/>
      <c r="I7" s="283"/>
      <c r="J7" s="39"/>
      <c r="K7" s="40"/>
      <c r="L7" s="41"/>
      <c r="M7" s="49">
        <f t="shared" ref="M7:M34" si="0">L7-K7</f>
        <v>0</v>
      </c>
    </row>
    <row r="8" spans="1:13" x14ac:dyDescent="0.25">
      <c r="A8" s="61" t="s">
        <v>30</v>
      </c>
      <c r="B8" s="38" t="s">
        <v>207</v>
      </c>
      <c r="C8" s="283"/>
      <c r="D8" s="283"/>
      <c r="E8" s="283"/>
      <c r="F8" s="283"/>
      <c r="G8" s="283"/>
      <c r="H8" s="283"/>
      <c r="I8" s="283"/>
      <c r="J8" s="38"/>
      <c r="K8" s="40"/>
      <c r="L8" s="41"/>
      <c r="M8" s="49">
        <f t="shared" si="0"/>
        <v>0</v>
      </c>
    </row>
    <row r="9" spans="1:13" x14ac:dyDescent="0.25">
      <c r="A9" t="s">
        <v>64</v>
      </c>
      <c r="B9" s="11" t="s">
        <v>208</v>
      </c>
      <c r="C9" s="282" t="s">
        <v>239</v>
      </c>
      <c r="D9" s="282"/>
      <c r="E9" s="282"/>
      <c r="F9" s="282"/>
      <c r="G9" s="282"/>
      <c r="H9" s="282"/>
      <c r="I9" s="282"/>
      <c r="J9" s="11"/>
      <c r="K9" s="35">
        <v>0.39583333333333331</v>
      </c>
      <c r="L9" s="21">
        <v>0.8125</v>
      </c>
      <c r="M9" s="14">
        <f t="shared" si="0"/>
        <v>0.41666666666666669</v>
      </c>
    </row>
    <row r="10" spans="1:13" ht="15" customHeight="1" x14ac:dyDescent="0.25">
      <c r="A10" t="s">
        <v>65</v>
      </c>
      <c r="B10" s="11" t="s">
        <v>209</v>
      </c>
      <c r="C10" s="221" t="s">
        <v>236</v>
      </c>
      <c r="D10" s="222"/>
      <c r="E10" s="222"/>
      <c r="F10" s="222"/>
      <c r="G10" s="222"/>
      <c r="H10" s="222"/>
      <c r="I10" s="223"/>
      <c r="J10" s="11"/>
      <c r="K10" s="35">
        <v>0.39583333333333331</v>
      </c>
      <c r="L10" s="21">
        <v>0.8125</v>
      </c>
      <c r="M10" s="14">
        <f t="shared" si="0"/>
        <v>0.41666666666666669</v>
      </c>
    </row>
    <row r="11" spans="1:13" ht="15" customHeight="1" x14ac:dyDescent="0.25">
      <c r="A11" t="s">
        <v>66</v>
      </c>
      <c r="B11" s="11" t="s">
        <v>210</v>
      </c>
      <c r="C11" s="194" t="s">
        <v>236</v>
      </c>
      <c r="D11" s="354"/>
      <c r="E11" s="354"/>
      <c r="F11" s="354"/>
      <c r="G11" s="354"/>
      <c r="H11" s="354"/>
      <c r="I11" s="354"/>
      <c r="J11" s="18"/>
      <c r="K11" s="35">
        <v>0.39583333333333331</v>
      </c>
      <c r="L11" s="21">
        <v>0.8125</v>
      </c>
      <c r="M11" s="14">
        <f t="shared" si="0"/>
        <v>0.41666666666666669</v>
      </c>
    </row>
    <row r="12" spans="1:13" ht="15" customHeight="1" x14ac:dyDescent="0.25">
      <c r="A12" t="s">
        <v>67</v>
      </c>
      <c r="B12" s="11" t="s">
        <v>211</v>
      </c>
      <c r="C12" s="221" t="s">
        <v>237</v>
      </c>
      <c r="D12" s="222"/>
      <c r="E12" s="222"/>
      <c r="F12" s="222"/>
      <c r="G12" s="222"/>
      <c r="H12" s="222"/>
      <c r="I12" s="223"/>
      <c r="J12" s="18"/>
      <c r="K12" s="35">
        <v>0.39583333333333331</v>
      </c>
      <c r="L12" s="21">
        <v>0.8125</v>
      </c>
      <c r="M12" s="14">
        <f t="shared" si="0"/>
        <v>0.41666666666666669</v>
      </c>
    </row>
    <row r="13" spans="1:13" x14ac:dyDescent="0.25">
      <c r="A13" t="s">
        <v>68</v>
      </c>
      <c r="B13" s="11" t="s">
        <v>212</v>
      </c>
      <c r="C13" s="259" t="s">
        <v>235</v>
      </c>
      <c r="D13" s="259"/>
      <c r="E13" s="259"/>
      <c r="F13" s="259"/>
      <c r="G13" s="259"/>
      <c r="H13" s="259"/>
      <c r="I13" s="259"/>
      <c r="J13" s="18"/>
      <c r="K13" s="35">
        <v>0.39583333333333331</v>
      </c>
      <c r="L13" s="21">
        <v>0.8125</v>
      </c>
      <c r="M13" s="14">
        <f t="shared" si="0"/>
        <v>0.41666666666666669</v>
      </c>
    </row>
    <row r="14" spans="1:13" ht="15" customHeight="1" x14ac:dyDescent="0.25">
      <c r="A14" s="61" t="s">
        <v>69</v>
      </c>
      <c r="B14" s="38" t="s">
        <v>213</v>
      </c>
      <c r="C14" s="358" t="s">
        <v>245</v>
      </c>
      <c r="D14" s="359"/>
      <c r="E14" s="359"/>
      <c r="F14" s="359"/>
      <c r="G14" s="359"/>
      <c r="H14" s="359"/>
      <c r="I14" s="360"/>
      <c r="J14" s="78"/>
      <c r="K14" s="40"/>
      <c r="L14" s="41"/>
      <c r="M14" s="49">
        <f t="shared" si="0"/>
        <v>0</v>
      </c>
    </row>
    <row r="15" spans="1:13" x14ac:dyDescent="0.25">
      <c r="A15" s="61" t="s">
        <v>30</v>
      </c>
      <c r="B15" s="38" t="s">
        <v>214</v>
      </c>
      <c r="C15" s="361"/>
      <c r="D15" s="362"/>
      <c r="E15" s="362"/>
      <c r="F15" s="362"/>
      <c r="G15" s="362"/>
      <c r="H15" s="362"/>
      <c r="I15" s="363"/>
      <c r="J15" s="78"/>
      <c r="K15" s="40"/>
      <c r="L15" s="41"/>
      <c r="M15" s="49">
        <f t="shared" si="0"/>
        <v>0</v>
      </c>
    </row>
    <row r="16" spans="1:13" x14ac:dyDescent="0.25">
      <c r="A16" t="s">
        <v>64</v>
      </c>
      <c r="B16" s="11" t="s">
        <v>215</v>
      </c>
      <c r="C16" s="259" t="s">
        <v>240</v>
      </c>
      <c r="D16" s="259"/>
      <c r="E16" s="259"/>
      <c r="F16" s="259"/>
      <c r="G16" s="259"/>
      <c r="H16" s="259"/>
      <c r="I16" s="259"/>
      <c r="J16" s="77"/>
      <c r="K16" s="35">
        <v>0.39583333333333331</v>
      </c>
      <c r="L16" s="21">
        <v>0.89583333333333337</v>
      </c>
      <c r="M16" s="14">
        <f t="shared" si="0"/>
        <v>0.5</v>
      </c>
    </row>
    <row r="17" spans="1:13" x14ac:dyDescent="0.25">
      <c r="A17" t="s">
        <v>65</v>
      </c>
      <c r="B17" s="11" t="s">
        <v>216</v>
      </c>
      <c r="C17" s="282" t="s">
        <v>241</v>
      </c>
      <c r="D17" s="282"/>
      <c r="E17" s="282"/>
      <c r="F17" s="282"/>
      <c r="G17" s="282"/>
      <c r="H17" s="282"/>
      <c r="I17" s="282"/>
      <c r="J17" s="77"/>
      <c r="K17" s="35">
        <v>0.39583333333333331</v>
      </c>
      <c r="L17" s="21">
        <v>0.8125</v>
      </c>
      <c r="M17" s="14">
        <f t="shared" si="0"/>
        <v>0.41666666666666669</v>
      </c>
    </row>
    <row r="18" spans="1:13" x14ac:dyDescent="0.25">
      <c r="A18" t="s">
        <v>66</v>
      </c>
      <c r="B18" s="11" t="s">
        <v>217</v>
      </c>
      <c r="C18" s="194" t="s">
        <v>244</v>
      </c>
      <c r="D18" s="194"/>
      <c r="E18" s="194"/>
      <c r="F18" s="194"/>
      <c r="G18" s="194"/>
      <c r="H18" s="194"/>
      <c r="I18" s="194"/>
      <c r="J18" s="18"/>
      <c r="K18" s="35">
        <v>0.52083333333333337</v>
      </c>
      <c r="L18" s="21">
        <v>0.92708333333333337</v>
      </c>
      <c r="M18" s="14">
        <f t="shared" si="0"/>
        <v>0.40625</v>
      </c>
    </row>
    <row r="19" spans="1:13" x14ac:dyDescent="0.25">
      <c r="A19" t="s">
        <v>67</v>
      </c>
      <c r="B19" s="11" t="s">
        <v>218</v>
      </c>
      <c r="C19" s="259" t="s">
        <v>243</v>
      </c>
      <c r="D19" s="259"/>
      <c r="E19" s="259"/>
      <c r="F19" s="259"/>
      <c r="G19" s="259"/>
      <c r="H19" s="259"/>
      <c r="I19" s="259"/>
      <c r="J19" s="18"/>
      <c r="K19" s="35">
        <v>0.39583333333333331</v>
      </c>
      <c r="L19" s="21">
        <v>0.92708333333333337</v>
      </c>
      <c r="M19" s="14">
        <f t="shared" si="0"/>
        <v>0.53125</v>
      </c>
    </row>
    <row r="20" spans="1:13" ht="15" customHeight="1" x14ac:dyDescent="0.25">
      <c r="A20" t="s">
        <v>68</v>
      </c>
      <c r="B20" s="11" t="s">
        <v>219</v>
      </c>
      <c r="C20" s="259" t="s">
        <v>242</v>
      </c>
      <c r="D20" s="259"/>
      <c r="E20" s="259"/>
      <c r="F20" s="259"/>
      <c r="G20" s="259"/>
      <c r="H20" s="259"/>
      <c r="I20" s="259"/>
      <c r="J20" s="51"/>
      <c r="K20" s="35">
        <v>0.39583333333333331</v>
      </c>
      <c r="L20" s="21">
        <v>0.92708333333333337</v>
      </c>
      <c r="M20" s="14">
        <f t="shared" si="0"/>
        <v>0.53125</v>
      </c>
    </row>
    <row r="21" spans="1:13" x14ac:dyDescent="0.25">
      <c r="A21" s="61" t="s">
        <v>69</v>
      </c>
      <c r="B21" s="38" t="s">
        <v>220</v>
      </c>
      <c r="C21" s="330" t="s">
        <v>245</v>
      </c>
      <c r="D21" s="331"/>
      <c r="E21" s="331"/>
      <c r="F21" s="331"/>
      <c r="G21" s="331"/>
      <c r="H21" s="331"/>
      <c r="I21" s="331"/>
      <c r="J21" s="331"/>
      <c r="K21" s="331"/>
      <c r="L21" s="331"/>
      <c r="M21" s="332"/>
    </row>
    <row r="22" spans="1:13" x14ac:dyDescent="0.25">
      <c r="A22" s="61" t="s">
        <v>30</v>
      </c>
      <c r="B22" s="38" t="s">
        <v>221</v>
      </c>
      <c r="C22" s="351"/>
      <c r="D22" s="352"/>
      <c r="E22" s="352"/>
      <c r="F22" s="352"/>
      <c r="G22" s="352"/>
      <c r="H22" s="352"/>
      <c r="I22" s="352"/>
      <c r="J22" s="352"/>
      <c r="K22" s="352"/>
      <c r="L22" s="352"/>
      <c r="M22" s="353"/>
    </row>
    <row r="23" spans="1:13" ht="15" customHeight="1" x14ac:dyDescent="0.25">
      <c r="A23" t="s">
        <v>64</v>
      </c>
      <c r="B23" s="11" t="s">
        <v>222</v>
      </c>
      <c r="C23" s="312" t="s">
        <v>249</v>
      </c>
      <c r="D23" s="313"/>
      <c r="E23" s="313"/>
      <c r="F23" s="313"/>
      <c r="G23" s="313"/>
      <c r="H23" s="313"/>
      <c r="I23" s="314"/>
      <c r="J23" s="18"/>
      <c r="K23" s="35">
        <v>0.75</v>
      </c>
      <c r="L23" s="21">
        <v>0.9375</v>
      </c>
      <c r="M23" s="14">
        <f>L23-K23</f>
        <v>0.1875</v>
      </c>
    </row>
    <row r="24" spans="1:13" x14ac:dyDescent="0.25">
      <c r="A24" t="s">
        <v>65</v>
      </c>
      <c r="B24" s="11" t="s">
        <v>223</v>
      </c>
      <c r="C24" s="194" t="s">
        <v>246</v>
      </c>
      <c r="D24" s="194"/>
      <c r="E24" s="194"/>
      <c r="F24" s="194"/>
      <c r="G24" s="194"/>
      <c r="H24" s="194"/>
      <c r="I24" s="194"/>
      <c r="J24" s="18"/>
      <c r="K24" s="35">
        <v>0.33333333333333331</v>
      </c>
      <c r="L24" s="21">
        <v>0.9375</v>
      </c>
      <c r="M24" s="14">
        <f>L25-K25</f>
        <v>0.53125</v>
      </c>
    </row>
    <row r="25" spans="1:13" x14ac:dyDescent="0.25">
      <c r="A25" t="s">
        <v>66</v>
      </c>
      <c r="B25" s="11" t="s">
        <v>224</v>
      </c>
      <c r="C25" s="194" t="s">
        <v>246</v>
      </c>
      <c r="D25" s="194"/>
      <c r="E25" s="194"/>
      <c r="F25" s="194"/>
      <c r="G25" s="194"/>
      <c r="H25" s="194"/>
      <c r="I25" s="194"/>
      <c r="J25" s="18"/>
      <c r="K25" s="35">
        <v>0.39583333333333331</v>
      </c>
      <c r="L25" s="21">
        <v>0.92708333333333337</v>
      </c>
      <c r="M25" s="14">
        <f>L26-K26</f>
        <v>0.53125</v>
      </c>
    </row>
    <row r="26" spans="1:13" x14ac:dyDescent="0.25">
      <c r="A26" t="s">
        <v>67</v>
      </c>
      <c r="B26" s="11" t="s">
        <v>225</v>
      </c>
      <c r="C26" s="282" t="s">
        <v>247</v>
      </c>
      <c r="D26" s="282"/>
      <c r="E26" s="282"/>
      <c r="F26" s="282"/>
      <c r="G26" s="282"/>
      <c r="H26" s="282"/>
      <c r="I26" s="282"/>
      <c r="J26" s="18"/>
      <c r="K26" s="35">
        <v>0.39583333333333331</v>
      </c>
      <c r="L26" s="21">
        <v>0.92708333333333337</v>
      </c>
      <c r="M26" s="14">
        <f>L26-K26</f>
        <v>0.53125</v>
      </c>
    </row>
    <row r="27" spans="1:13" x14ac:dyDescent="0.25">
      <c r="A27" t="s">
        <v>68</v>
      </c>
      <c r="B27" s="11" t="s">
        <v>226</v>
      </c>
      <c r="C27" s="282" t="s">
        <v>248</v>
      </c>
      <c r="D27" s="282"/>
      <c r="E27" s="282"/>
      <c r="F27" s="282"/>
      <c r="G27" s="282"/>
      <c r="H27" s="282"/>
      <c r="I27" s="282"/>
      <c r="J27" s="18"/>
      <c r="K27" s="35">
        <v>0.39583333333333331</v>
      </c>
      <c r="L27" s="21">
        <v>0.83333333333333337</v>
      </c>
      <c r="M27" s="14">
        <f t="shared" si="0"/>
        <v>0.43750000000000006</v>
      </c>
    </row>
    <row r="28" spans="1:13" x14ac:dyDescent="0.25">
      <c r="A28" s="61" t="s">
        <v>69</v>
      </c>
      <c r="B28" s="38" t="s">
        <v>227</v>
      </c>
      <c r="C28" s="279"/>
      <c r="D28" s="364"/>
      <c r="E28" s="364"/>
      <c r="F28" s="364"/>
      <c r="G28" s="364"/>
      <c r="H28" s="364"/>
      <c r="I28" s="364"/>
      <c r="J28" s="44"/>
      <c r="K28" s="40"/>
      <c r="L28" s="41"/>
      <c r="M28" s="49">
        <f t="shared" si="0"/>
        <v>0</v>
      </c>
    </row>
    <row r="29" spans="1:13" x14ac:dyDescent="0.25">
      <c r="A29" s="61" t="s">
        <v>30</v>
      </c>
      <c r="B29" s="38" t="s">
        <v>228</v>
      </c>
      <c r="C29" s="329"/>
      <c r="D29" s="329"/>
      <c r="E29" s="329"/>
      <c r="F29" s="329"/>
      <c r="G29" s="329"/>
      <c r="H29" s="329"/>
      <c r="I29" s="329"/>
      <c r="J29" s="44"/>
      <c r="K29" s="40"/>
      <c r="L29" s="41"/>
      <c r="M29" s="49">
        <f t="shared" si="0"/>
        <v>0</v>
      </c>
    </row>
    <row r="30" spans="1:13" x14ac:dyDescent="0.25">
      <c r="A30" t="s">
        <v>64</v>
      </c>
      <c r="B30" s="11" t="s">
        <v>229</v>
      </c>
      <c r="C30" s="336" t="s">
        <v>250</v>
      </c>
      <c r="D30" s="336"/>
      <c r="E30" s="336"/>
      <c r="F30" s="336"/>
      <c r="G30" s="336"/>
      <c r="H30" s="336"/>
      <c r="I30" s="336"/>
      <c r="J30" s="37"/>
      <c r="K30" s="35">
        <v>0.39583333333333331</v>
      </c>
      <c r="L30" s="21">
        <v>0.8125</v>
      </c>
      <c r="M30" s="14">
        <f t="shared" si="0"/>
        <v>0.41666666666666669</v>
      </c>
    </row>
    <row r="31" spans="1:13" x14ac:dyDescent="0.25">
      <c r="A31" t="s">
        <v>65</v>
      </c>
      <c r="B31" s="11" t="s">
        <v>230</v>
      </c>
      <c r="C31" s="336" t="s">
        <v>251</v>
      </c>
      <c r="D31" s="336"/>
      <c r="E31" s="336"/>
      <c r="F31" s="336"/>
      <c r="G31" s="336"/>
      <c r="H31" s="336"/>
      <c r="I31" s="336"/>
      <c r="J31" s="37"/>
      <c r="K31" s="35">
        <v>0.35416666666666669</v>
      </c>
      <c r="L31" s="21">
        <v>0.8125</v>
      </c>
      <c r="M31" s="14">
        <f t="shared" si="0"/>
        <v>0.45833333333333331</v>
      </c>
    </row>
    <row r="32" spans="1:13" x14ac:dyDescent="0.25">
      <c r="A32" t="s">
        <v>66</v>
      </c>
      <c r="B32" s="11" t="s">
        <v>231</v>
      </c>
      <c r="C32" s="194" t="s">
        <v>252</v>
      </c>
      <c r="D32" s="194"/>
      <c r="E32" s="194"/>
      <c r="F32" s="194"/>
      <c r="G32" s="194"/>
      <c r="H32" s="194"/>
      <c r="I32" s="194"/>
      <c r="J32" s="18"/>
      <c r="K32" s="35">
        <v>0.33333333333333331</v>
      </c>
      <c r="L32" s="21">
        <v>0.89583333333333337</v>
      </c>
      <c r="M32" s="14">
        <f t="shared" si="0"/>
        <v>0.5625</v>
      </c>
    </row>
    <row r="33" spans="1:13" x14ac:dyDescent="0.25">
      <c r="A33" t="s">
        <v>67</v>
      </c>
      <c r="B33" s="11" t="s">
        <v>232</v>
      </c>
      <c r="C33" s="282" t="s">
        <v>254</v>
      </c>
      <c r="D33" s="282"/>
      <c r="E33" s="282"/>
      <c r="F33" s="282"/>
      <c r="G33" s="282"/>
      <c r="H33" s="282"/>
      <c r="I33" s="282"/>
      <c r="J33" s="18"/>
      <c r="K33" s="35">
        <v>0.33333333333333331</v>
      </c>
      <c r="L33" s="21">
        <v>0.89583333333333337</v>
      </c>
      <c r="M33" s="14">
        <f t="shared" si="0"/>
        <v>0.5625</v>
      </c>
    </row>
    <row r="34" spans="1:13" x14ac:dyDescent="0.25">
      <c r="A34" t="s">
        <v>68</v>
      </c>
      <c r="B34" s="11" t="s">
        <v>233</v>
      </c>
      <c r="C34" s="365" t="s">
        <v>253</v>
      </c>
      <c r="D34" s="365"/>
      <c r="E34" s="365"/>
      <c r="F34" s="365"/>
      <c r="G34" s="365"/>
      <c r="H34" s="365"/>
      <c r="I34" s="365"/>
      <c r="J34" s="59"/>
      <c r="K34" s="35">
        <v>0.33333333333333331</v>
      </c>
      <c r="L34" s="21">
        <v>0.8125</v>
      </c>
      <c r="M34" s="14">
        <f t="shared" si="0"/>
        <v>0.47916666666666669</v>
      </c>
    </row>
    <row r="35" spans="1:13" x14ac:dyDescent="0.25">
      <c r="A35" s="61" t="s">
        <v>69</v>
      </c>
      <c r="B35" s="38" t="s">
        <v>234</v>
      </c>
      <c r="C35" s="279"/>
      <c r="D35" s="279"/>
      <c r="E35" s="279"/>
      <c r="F35" s="279"/>
      <c r="G35" s="279"/>
      <c r="H35" s="279"/>
      <c r="I35" s="279"/>
      <c r="J35" s="42"/>
      <c r="K35" s="40"/>
      <c r="L35" s="41"/>
      <c r="M35" s="49"/>
    </row>
    <row r="36" spans="1:13" x14ac:dyDescent="0.25">
      <c r="B36" s="11"/>
      <c r="C36" s="291"/>
      <c r="D36" s="292"/>
      <c r="E36" s="292"/>
      <c r="F36" s="292"/>
      <c r="G36" s="292"/>
      <c r="H36" s="292"/>
      <c r="I36" s="293"/>
      <c r="J36" s="18"/>
      <c r="K36" s="35"/>
      <c r="L36" s="21"/>
      <c r="M36" s="14"/>
    </row>
    <row r="37" spans="1:13" x14ac:dyDescent="0.25">
      <c r="B37" s="2"/>
      <c r="M37" s="7"/>
    </row>
    <row r="38" spans="1:13" x14ac:dyDescent="0.25">
      <c r="B38" s="2"/>
    </row>
  </sheetData>
  <mergeCells count="35">
    <mergeCell ref="C36:I36"/>
    <mergeCell ref="C30:I30"/>
    <mergeCell ref="C31:I31"/>
    <mergeCell ref="C32:I32"/>
    <mergeCell ref="C33:I33"/>
    <mergeCell ref="C34:I34"/>
    <mergeCell ref="C35:I35"/>
    <mergeCell ref="C16:I16"/>
    <mergeCell ref="C14:I15"/>
    <mergeCell ref="C29:I29"/>
    <mergeCell ref="C18:I18"/>
    <mergeCell ref="C19:I19"/>
    <mergeCell ref="C20:I20"/>
    <mergeCell ref="C23:I23"/>
    <mergeCell ref="C24:I24"/>
    <mergeCell ref="C25:I25"/>
    <mergeCell ref="C26:I26"/>
    <mergeCell ref="C27:I27"/>
    <mergeCell ref="C28:I28"/>
    <mergeCell ref="C21:M22"/>
    <mergeCell ref="C17:I17"/>
    <mergeCell ref="C5:J5"/>
    <mergeCell ref="B1:M1"/>
    <mergeCell ref="C2:E2"/>
    <mergeCell ref="G2:M2"/>
    <mergeCell ref="C3:E3"/>
    <mergeCell ref="G3:M3"/>
    <mergeCell ref="C11:I11"/>
    <mergeCell ref="C12:I12"/>
    <mergeCell ref="C13:I13"/>
    <mergeCell ref="C6:I6"/>
    <mergeCell ref="C7:I7"/>
    <mergeCell ref="C8:I8"/>
    <mergeCell ref="C9:I9"/>
    <mergeCell ref="C10:I10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workbookViewId="0">
      <selection activeCell="B37" sqref="B37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6" max="6" width="11.7109375" bestFit="1" customWidth="1"/>
    <col min="9" max="9" width="34.42578125" customWidth="1"/>
    <col min="11" max="11" width="11.5703125" style="23" bestFit="1" customWidth="1"/>
    <col min="12" max="12" width="9.140625" style="23"/>
    <col min="13" max="13" width="11" bestFit="1" customWidth="1"/>
  </cols>
  <sheetData>
    <row r="1" spans="1:13" ht="18.75" x14ac:dyDescent="0.3">
      <c r="B1" s="356" t="s">
        <v>0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</row>
    <row r="2" spans="1:13" x14ac:dyDescent="0.25">
      <c r="B2" s="5" t="s">
        <v>1</v>
      </c>
      <c r="C2" s="357" t="s">
        <v>34</v>
      </c>
      <c r="D2" s="357"/>
      <c r="E2" s="357"/>
      <c r="F2" s="5" t="s">
        <v>8</v>
      </c>
      <c r="G2" s="357" t="s">
        <v>35</v>
      </c>
      <c r="H2" s="357"/>
      <c r="I2" s="357"/>
      <c r="J2" s="357"/>
      <c r="K2" s="357"/>
      <c r="L2" s="357"/>
      <c r="M2" s="357"/>
    </row>
    <row r="3" spans="1:13" x14ac:dyDescent="0.25">
      <c r="B3" s="5" t="s">
        <v>2</v>
      </c>
      <c r="C3" s="357" t="s">
        <v>36</v>
      </c>
      <c r="D3" s="357"/>
      <c r="E3" s="357"/>
      <c r="F3" s="5" t="s">
        <v>3</v>
      </c>
      <c r="G3" s="357" t="s">
        <v>13</v>
      </c>
      <c r="H3" s="357"/>
      <c r="I3" s="357"/>
      <c r="J3" s="357"/>
      <c r="K3" s="357"/>
      <c r="L3" s="357"/>
      <c r="M3" s="357"/>
    </row>
    <row r="4" spans="1:13" x14ac:dyDescent="0.25">
      <c r="B4" s="6"/>
      <c r="C4" s="6"/>
      <c r="D4" s="6"/>
      <c r="E4" s="6"/>
      <c r="F4" s="6"/>
      <c r="G4" s="6"/>
      <c r="H4" s="6"/>
      <c r="I4" s="6"/>
      <c r="J4" s="6"/>
      <c r="K4" s="33"/>
      <c r="L4" s="19"/>
      <c r="M4" s="19"/>
    </row>
    <row r="5" spans="1:13" x14ac:dyDescent="0.25">
      <c r="B5" s="73" t="s">
        <v>7</v>
      </c>
      <c r="C5" s="355" t="s">
        <v>4</v>
      </c>
      <c r="D5" s="355"/>
      <c r="E5" s="355"/>
      <c r="F5" s="355"/>
      <c r="G5" s="355"/>
      <c r="H5" s="355"/>
      <c r="I5" s="355"/>
      <c r="J5" s="355"/>
      <c r="K5" s="74" t="s">
        <v>5</v>
      </c>
      <c r="L5" s="75" t="s">
        <v>6</v>
      </c>
      <c r="M5" s="73"/>
    </row>
    <row r="6" spans="1:13" ht="14.45" customHeight="1" x14ac:dyDescent="0.25">
      <c r="A6" t="s">
        <v>65</v>
      </c>
      <c r="B6" s="11">
        <v>44621</v>
      </c>
      <c r="C6" s="282" t="s">
        <v>180</v>
      </c>
      <c r="D6" s="282"/>
      <c r="E6" s="282"/>
      <c r="F6" s="282"/>
      <c r="G6" s="282"/>
      <c r="H6" s="282"/>
      <c r="I6" s="282"/>
      <c r="J6" s="12"/>
      <c r="K6" s="35">
        <v>0.39583333333333331</v>
      </c>
      <c r="L6" s="21">
        <v>0.8125</v>
      </c>
      <c r="M6" s="14">
        <f>L6-K6</f>
        <v>0.41666666666666669</v>
      </c>
    </row>
    <row r="7" spans="1:13" x14ac:dyDescent="0.25">
      <c r="A7" s="64" t="s">
        <v>66</v>
      </c>
      <c r="B7" s="65">
        <v>44622</v>
      </c>
      <c r="C7" s="367" t="s">
        <v>179</v>
      </c>
      <c r="D7" s="367"/>
      <c r="E7" s="367"/>
      <c r="F7" s="367"/>
      <c r="G7" s="367"/>
      <c r="H7" s="367"/>
      <c r="I7" s="367"/>
      <c r="J7" s="76"/>
      <c r="K7" s="67"/>
      <c r="L7" s="68"/>
      <c r="M7" s="14">
        <f t="shared" ref="M7:M36" si="0">L7-K7</f>
        <v>0</v>
      </c>
    </row>
    <row r="8" spans="1:13" x14ac:dyDescent="0.25">
      <c r="A8" t="s">
        <v>67</v>
      </c>
      <c r="B8" s="11">
        <v>44623</v>
      </c>
      <c r="C8" s="282" t="s">
        <v>181</v>
      </c>
      <c r="D8" s="282"/>
      <c r="E8" s="282"/>
      <c r="F8" s="282"/>
      <c r="G8" s="282"/>
      <c r="H8" s="282"/>
      <c r="I8" s="282"/>
      <c r="J8" s="11"/>
      <c r="K8" s="35">
        <v>0.39583333333333331</v>
      </c>
      <c r="L8" s="21">
        <v>0.8125</v>
      </c>
      <c r="M8" s="14">
        <f t="shared" si="0"/>
        <v>0.41666666666666669</v>
      </c>
    </row>
    <row r="9" spans="1:13" x14ac:dyDescent="0.25">
      <c r="A9" t="s">
        <v>68</v>
      </c>
      <c r="B9" s="11">
        <v>44624</v>
      </c>
      <c r="C9" s="282" t="s">
        <v>182</v>
      </c>
      <c r="D9" s="282"/>
      <c r="E9" s="282"/>
      <c r="F9" s="282"/>
      <c r="G9" s="282"/>
      <c r="H9" s="282"/>
      <c r="I9" s="282"/>
      <c r="J9" s="11"/>
      <c r="K9" s="35">
        <v>0.39583333333333331</v>
      </c>
      <c r="L9" s="21">
        <v>0.8125</v>
      </c>
      <c r="M9" s="14">
        <f t="shared" si="0"/>
        <v>0.41666666666666669</v>
      </c>
    </row>
    <row r="10" spans="1:13" ht="15" customHeight="1" x14ac:dyDescent="0.25">
      <c r="A10" s="61" t="s">
        <v>69</v>
      </c>
      <c r="B10" s="38">
        <v>44625</v>
      </c>
      <c r="C10" s="325" t="s">
        <v>183</v>
      </c>
      <c r="D10" s="326"/>
      <c r="E10" s="326"/>
      <c r="F10" s="326"/>
      <c r="G10" s="326"/>
      <c r="H10" s="326"/>
      <c r="I10" s="327"/>
      <c r="J10" s="38"/>
      <c r="K10" s="40">
        <v>0.39583333333333331</v>
      </c>
      <c r="L10" s="40">
        <v>0.8125</v>
      </c>
      <c r="M10" s="14">
        <f t="shared" si="0"/>
        <v>0.41666666666666669</v>
      </c>
    </row>
    <row r="11" spans="1:13" ht="15" customHeight="1" x14ac:dyDescent="0.25">
      <c r="A11" s="61" t="s">
        <v>30</v>
      </c>
      <c r="B11" s="38">
        <v>44626</v>
      </c>
      <c r="C11" s="364" t="s">
        <v>40</v>
      </c>
      <c r="D11" s="364"/>
      <c r="E11" s="364"/>
      <c r="F11" s="364"/>
      <c r="G11" s="364"/>
      <c r="H11" s="364"/>
      <c r="I11" s="364"/>
      <c r="J11" s="42"/>
      <c r="K11" s="40"/>
      <c r="L11" s="41"/>
      <c r="M11" s="14">
        <f t="shared" si="0"/>
        <v>0</v>
      </c>
    </row>
    <row r="12" spans="1:13" ht="15" customHeight="1" x14ac:dyDescent="0.25">
      <c r="A12" t="s">
        <v>64</v>
      </c>
      <c r="B12" s="11">
        <v>44627</v>
      </c>
      <c r="C12" s="221" t="s">
        <v>184</v>
      </c>
      <c r="D12" s="222"/>
      <c r="E12" s="222"/>
      <c r="F12" s="222"/>
      <c r="G12" s="222"/>
      <c r="H12" s="222"/>
      <c r="I12" s="223"/>
      <c r="J12" s="18"/>
      <c r="K12" s="35">
        <v>0.39583333333333331</v>
      </c>
      <c r="L12" s="21">
        <v>0.83333333333333337</v>
      </c>
      <c r="M12" s="14">
        <f>L12-K12</f>
        <v>0.43750000000000006</v>
      </c>
    </row>
    <row r="13" spans="1:13" x14ac:dyDescent="0.25">
      <c r="A13" t="s">
        <v>65</v>
      </c>
      <c r="B13" s="11">
        <v>44628</v>
      </c>
      <c r="C13" s="259" t="s">
        <v>185</v>
      </c>
      <c r="D13" s="259"/>
      <c r="E13" s="259"/>
      <c r="F13" s="259"/>
      <c r="G13" s="259"/>
      <c r="H13" s="259"/>
      <c r="I13" s="259"/>
      <c r="J13" s="18"/>
      <c r="K13" s="35">
        <v>0.39583333333333331</v>
      </c>
      <c r="L13" s="21">
        <v>0.8125</v>
      </c>
      <c r="M13" s="14">
        <f t="shared" si="0"/>
        <v>0.41666666666666669</v>
      </c>
    </row>
    <row r="14" spans="1:13" ht="15" customHeight="1" x14ac:dyDescent="0.25">
      <c r="A14" t="s">
        <v>66</v>
      </c>
      <c r="B14" s="11">
        <v>44629</v>
      </c>
      <c r="C14" s="194" t="s">
        <v>187</v>
      </c>
      <c r="D14" s="194"/>
      <c r="E14" s="194"/>
      <c r="F14" s="194"/>
      <c r="G14" s="194"/>
      <c r="H14" s="194"/>
      <c r="I14" s="194"/>
      <c r="J14" s="77"/>
      <c r="K14" s="35">
        <v>0.39583333333333331</v>
      </c>
      <c r="L14" s="21">
        <v>0.89583333333333337</v>
      </c>
      <c r="M14" s="14">
        <f t="shared" si="0"/>
        <v>0.5</v>
      </c>
    </row>
    <row r="15" spans="1:13" x14ac:dyDescent="0.25">
      <c r="A15" t="s">
        <v>67</v>
      </c>
      <c r="B15" s="11">
        <v>44630</v>
      </c>
      <c r="C15" s="259" t="s">
        <v>186</v>
      </c>
      <c r="D15" s="259"/>
      <c r="E15" s="259"/>
      <c r="F15" s="259"/>
      <c r="G15" s="259"/>
      <c r="H15" s="259"/>
      <c r="I15" s="259"/>
      <c r="J15" s="77"/>
      <c r="K15" s="35">
        <v>0.39583333333333331</v>
      </c>
      <c r="L15" s="21">
        <v>0.8125</v>
      </c>
      <c r="M15" s="14">
        <f t="shared" si="0"/>
        <v>0.41666666666666669</v>
      </c>
    </row>
    <row r="16" spans="1:13" x14ac:dyDescent="0.25">
      <c r="A16" t="s">
        <v>68</v>
      </c>
      <c r="B16" s="11">
        <v>44631</v>
      </c>
      <c r="C16" s="259" t="s">
        <v>188</v>
      </c>
      <c r="D16" s="259"/>
      <c r="E16" s="259"/>
      <c r="F16" s="259"/>
      <c r="G16" s="259"/>
      <c r="H16" s="259"/>
      <c r="I16" s="259"/>
      <c r="J16" s="77"/>
      <c r="K16" s="35">
        <v>0.39583333333333331</v>
      </c>
      <c r="L16" s="21">
        <v>0.8125</v>
      </c>
      <c r="M16" s="14">
        <f t="shared" si="0"/>
        <v>0.41666666666666669</v>
      </c>
    </row>
    <row r="17" spans="1:13" x14ac:dyDescent="0.25">
      <c r="A17" s="61" t="s">
        <v>69</v>
      </c>
      <c r="B17" s="38">
        <v>44632</v>
      </c>
      <c r="C17" s="283" t="s">
        <v>189</v>
      </c>
      <c r="D17" s="283"/>
      <c r="E17" s="283"/>
      <c r="F17" s="283"/>
      <c r="G17" s="283"/>
      <c r="H17" s="283"/>
      <c r="I17" s="283"/>
      <c r="J17" s="78"/>
      <c r="K17" s="40">
        <v>0.39583333333333331</v>
      </c>
      <c r="L17" s="40">
        <v>0.8125</v>
      </c>
      <c r="M17" s="14">
        <f t="shared" si="0"/>
        <v>0.41666666666666669</v>
      </c>
    </row>
    <row r="18" spans="1:13" x14ac:dyDescent="0.25">
      <c r="A18" s="61" t="s">
        <v>30</v>
      </c>
      <c r="B18" s="38">
        <v>44633</v>
      </c>
      <c r="C18" s="364" t="s">
        <v>192</v>
      </c>
      <c r="D18" s="364"/>
      <c r="E18" s="364"/>
      <c r="F18" s="364"/>
      <c r="G18" s="364"/>
      <c r="H18" s="364"/>
      <c r="I18" s="364"/>
      <c r="J18" s="42"/>
      <c r="K18" s="40">
        <v>0.875</v>
      </c>
      <c r="L18" s="40">
        <v>0.10416666666666667</v>
      </c>
      <c r="M18" s="14">
        <v>0.22916666666666666</v>
      </c>
    </row>
    <row r="19" spans="1:13" x14ac:dyDescent="0.25">
      <c r="A19" t="s">
        <v>64</v>
      </c>
      <c r="B19" s="11">
        <v>44634</v>
      </c>
      <c r="C19" s="259" t="s">
        <v>190</v>
      </c>
      <c r="D19" s="259"/>
      <c r="E19" s="259"/>
      <c r="F19" s="259"/>
      <c r="G19" s="259"/>
      <c r="H19" s="259"/>
      <c r="I19" s="259"/>
      <c r="J19" s="18"/>
      <c r="K19" s="35">
        <v>0.39583333333333331</v>
      </c>
      <c r="L19" s="21">
        <v>0.97916666666666663</v>
      </c>
      <c r="M19" s="14">
        <f t="shared" si="0"/>
        <v>0.58333333333333326</v>
      </c>
    </row>
    <row r="20" spans="1:13" ht="15" customHeight="1" x14ac:dyDescent="0.25">
      <c r="A20" t="s">
        <v>65</v>
      </c>
      <c r="B20" s="11">
        <v>44635</v>
      </c>
      <c r="C20" s="259" t="s">
        <v>191</v>
      </c>
      <c r="D20" s="259"/>
      <c r="E20" s="259"/>
      <c r="F20" s="259"/>
      <c r="G20" s="259"/>
      <c r="H20" s="259"/>
      <c r="I20" s="259"/>
      <c r="J20" s="51"/>
      <c r="K20" s="35">
        <v>0.39583333333333331</v>
      </c>
      <c r="L20" s="21">
        <v>0.97916666666666663</v>
      </c>
      <c r="M20" s="14">
        <f t="shared" si="0"/>
        <v>0.58333333333333326</v>
      </c>
    </row>
    <row r="21" spans="1:13" x14ac:dyDescent="0.25">
      <c r="A21" t="s">
        <v>66</v>
      </c>
      <c r="B21" s="11">
        <v>44636</v>
      </c>
      <c r="C21" s="291" t="s">
        <v>193</v>
      </c>
      <c r="D21" s="292"/>
      <c r="E21" s="292"/>
      <c r="F21" s="292"/>
      <c r="G21" s="292"/>
      <c r="H21" s="292"/>
      <c r="I21" s="293"/>
      <c r="J21" s="51"/>
      <c r="K21" s="35">
        <v>0.39583333333333331</v>
      </c>
      <c r="L21" s="21">
        <v>0.8125</v>
      </c>
      <c r="M21" s="14">
        <f t="shared" si="0"/>
        <v>0.41666666666666669</v>
      </c>
    </row>
    <row r="22" spans="1:13" x14ac:dyDescent="0.25">
      <c r="A22" t="s">
        <v>67</v>
      </c>
      <c r="B22" s="11">
        <v>44637</v>
      </c>
      <c r="C22" s="291" t="s">
        <v>193</v>
      </c>
      <c r="D22" s="292"/>
      <c r="E22" s="292"/>
      <c r="F22" s="292"/>
      <c r="G22" s="292"/>
      <c r="H22" s="292"/>
      <c r="I22" s="293"/>
      <c r="J22" s="51"/>
      <c r="K22" s="35">
        <v>0.39583333333333331</v>
      </c>
      <c r="L22" s="21">
        <v>0.8125</v>
      </c>
      <c r="M22" s="14">
        <f t="shared" si="0"/>
        <v>0.41666666666666669</v>
      </c>
    </row>
    <row r="23" spans="1:13" x14ac:dyDescent="0.25">
      <c r="A23" s="64" t="s">
        <v>68</v>
      </c>
      <c r="B23" s="65">
        <v>44638</v>
      </c>
      <c r="C23" s="366" t="s">
        <v>178</v>
      </c>
      <c r="D23" s="366"/>
      <c r="E23" s="366"/>
      <c r="F23" s="366"/>
      <c r="G23" s="366"/>
      <c r="H23" s="366"/>
      <c r="I23" s="366"/>
      <c r="J23" s="70"/>
      <c r="K23" s="67"/>
      <c r="L23" s="68"/>
      <c r="M23" s="14">
        <f t="shared" si="0"/>
        <v>0</v>
      </c>
    </row>
    <row r="24" spans="1:13" x14ac:dyDescent="0.25">
      <c r="A24" s="61" t="s">
        <v>69</v>
      </c>
      <c r="B24" s="38">
        <v>44639</v>
      </c>
      <c r="C24" s="329" t="s">
        <v>194</v>
      </c>
      <c r="D24" s="329"/>
      <c r="E24" s="329"/>
      <c r="F24" s="329"/>
      <c r="G24" s="329"/>
      <c r="H24" s="329"/>
      <c r="I24" s="329"/>
      <c r="J24" s="42"/>
      <c r="K24" s="40">
        <v>0.40972222222222227</v>
      </c>
      <c r="L24" s="40">
        <v>0.77083333333333337</v>
      </c>
      <c r="M24" s="14">
        <f t="shared" si="0"/>
        <v>0.3611111111111111</v>
      </c>
    </row>
    <row r="25" spans="1:13" x14ac:dyDescent="0.25">
      <c r="A25" s="61" t="s">
        <v>30</v>
      </c>
      <c r="B25" s="38">
        <v>44640</v>
      </c>
      <c r="C25" s="364" t="s">
        <v>40</v>
      </c>
      <c r="D25" s="364"/>
      <c r="E25" s="364"/>
      <c r="F25" s="364"/>
      <c r="G25" s="364"/>
      <c r="H25" s="364"/>
      <c r="I25" s="364"/>
      <c r="J25" s="42"/>
      <c r="K25" s="40"/>
      <c r="L25" s="41"/>
      <c r="M25" s="14">
        <f t="shared" si="0"/>
        <v>0</v>
      </c>
    </row>
    <row r="26" spans="1:13" x14ac:dyDescent="0.25">
      <c r="A26" t="s">
        <v>64</v>
      </c>
      <c r="B26" s="11">
        <v>44641</v>
      </c>
      <c r="C26" s="282" t="s">
        <v>197</v>
      </c>
      <c r="D26" s="282"/>
      <c r="E26" s="282"/>
      <c r="F26" s="282"/>
      <c r="G26" s="282"/>
      <c r="H26" s="282"/>
      <c r="I26" s="282"/>
      <c r="J26" s="18"/>
      <c r="K26" s="35">
        <v>0.39583333333333331</v>
      </c>
      <c r="L26" s="21">
        <v>0.5625</v>
      </c>
      <c r="M26" s="14">
        <f t="shared" si="0"/>
        <v>0.16666666666666669</v>
      </c>
    </row>
    <row r="27" spans="1:13" x14ac:dyDescent="0.25">
      <c r="A27" t="s">
        <v>65</v>
      </c>
      <c r="B27" s="11">
        <v>44642</v>
      </c>
      <c r="C27" s="282" t="s">
        <v>196</v>
      </c>
      <c r="D27" s="282"/>
      <c r="E27" s="282"/>
      <c r="F27" s="282"/>
      <c r="G27" s="282"/>
      <c r="H27" s="282"/>
      <c r="I27" s="282"/>
      <c r="J27" s="18"/>
      <c r="K27" s="35">
        <v>0.40277777777777773</v>
      </c>
      <c r="L27" s="21">
        <v>0.8125</v>
      </c>
      <c r="M27" s="14">
        <f t="shared" si="0"/>
        <v>0.40972222222222227</v>
      </c>
    </row>
    <row r="28" spans="1:13" x14ac:dyDescent="0.25">
      <c r="A28" t="s">
        <v>66</v>
      </c>
      <c r="B28" s="11">
        <v>44643</v>
      </c>
      <c r="C28" s="194" t="s">
        <v>195</v>
      </c>
      <c r="D28" s="354"/>
      <c r="E28" s="354"/>
      <c r="F28" s="354"/>
      <c r="G28" s="354"/>
      <c r="H28" s="354"/>
      <c r="I28" s="354"/>
      <c r="J28" s="37"/>
      <c r="K28" s="35">
        <v>0.40277777777777773</v>
      </c>
      <c r="L28" s="21">
        <v>0.8125</v>
      </c>
      <c r="M28" s="14">
        <f t="shared" si="0"/>
        <v>0.40972222222222227</v>
      </c>
    </row>
    <row r="29" spans="1:13" x14ac:dyDescent="0.25">
      <c r="A29" t="s">
        <v>67</v>
      </c>
      <c r="B29" s="11">
        <v>44644</v>
      </c>
      <c r="C29" s="336" t="s">
        <v>198</v>
      </c>
      <c r="D29" s="336"/>
      <c r="E29" s="336"/>
      <c r="F29" s="336"/>
      <c r="G29" s="336"/>
      <c r="H29" s="336"/>
      <c r="I29" s="336"/>
      <c r="J29" s="37"/>
      <c r="K29" s="35">
        <v>0.40277777777777773</v>
      </c>
      <c r="L29" s="21">
        <v>0.8125</v>
      </c>
      <c r="M29" s="14">
        <f t="shared" si="0"/>
        <v>0.40972222222222227</v>
      </c>
    </row>
    <row r="30" spans="1:13" x14ac:dyDescent="0.25">
      <c r="A30" t="s">
        <v>68</v>
      </c>
      <c r="B30" s="11">
        <v>44645</v>
      </c>
      <c r="C30" s="336" t="s">
        <v>199</v>
      </c>
      <c r="D30" s="336"/>
      <c r="E30" s="336"/>
      <c r="F30" s="336"/>
      <c r="G30" s="336"/>
      <c r="H30" s="336"/>
      <c r="I30" s="336"/>
      <c r="J30" s="37"/>
      <c r="K30" s="35">
        <v>0.40277777777777773</v>
      </c>
      <c r="L30" s="21">
        <v>0.8125</v>
      </c>
      <c r="M30" s="14">
        <f t="shared" si="0"/>
        <v>0.40972222222222227</v>
      </c>
    </row>
    <row r="31" spans="1:13" x14ac:dyDescent="0.25">
      <c r="A31" s="61" t="s">
        <v>69</v>
      </c>
      <c r="B31" s="38">
        <v>44646</v>
      </c>
      <c r="C31" s="329" t="s">
        <v>200</v>
      </c>
      <c r="D31" s="329"/>
      <c r="E31" s="329"/>
      <c r="F31" s="329"/>
      <c r="G31" s="329"/>
      <c r="H31" s="329"/>
      <c r="I31" s="329"/>
      <c r="J31" s="44"/>
      <c r="K31" s="40">
        <v>0.39583333333333331</v>
      </c>
      <c r="L31" s="40">
        <v>0.77083333333333337</v>
      </c>
      <c r="M31" s="14">
        <f t="shared" si="0"/>
        <v>0.37500000000000006</v>
      </c>
    </row>
    <row r="32" spans="1:13" x14ac:dyDescent="0.25">
      <c r="A32" s="61" t="s">
        <v>30</v>
      </c>
      <c r="B32" s="38">
        <v>44647</v>
      </c>
      <c r="C32" s="364" t="s">
        <v>40</v>
      </c>
      <c r="D32" s="364"/>
      <c r="E32" s="364"/>
      <c r="F32" s="364"/>
      <c r="G32" s="364"/>
      <c r="H32" s="364"/>
      <c r="I32" s="364"/>
      <c r="J32" s="42"/>
      <c r="K32" s="40"/>
      <c r="L32" s="41"/>
      <c r="M32" s="14">
        <f t="shared" si="0"/>
        <v>0</v>
      </c>
    </row>
    <row r="33" spans="1:13" x14ac:dyDescent="0.25">
      <c r="A33" t="s">
        <v>64</v>
      </c>
      <c r="B33" s="11">
        <v>44648</v>
      </c>
      <c r="C33" s="282" t="s">
        <v>202</v>
      </c>
      <c r="D33" s="282"/>
      <c r="E33" s="282"/>
      <c r="F33" s="282"/>
      <c r="G33" s="282"/>
      <c r="H33" s="282"/>
      <c r="I33" s="282"/>
      <c r="J33" s="18"/>
      <c r="K33" s="35">
        <v>0.40277777777777773</v>
      </c>
      <c r="L33" s="21">
        <v>0.8125</v>
      </c>
      <c r="M33" s="14">
        <f t="shared" si="0"/>
        <v>0.40972222222222227</v>
      </c>
    </row>
    <row r="34" spans="1:13" x14ac:dyDescent="0.25">
      <c r="A34" t="s">
        <v>65</v>
      </c>
      <c r="B34" s="11">
        <v>44649</v>
      </c>
      <c r="C34" s="365" t="s">
        <v>201</v>
      </c>
      <c r="D34" s="365"/>
      <c r="E34" s="365"/>
      <c r="F34" s="365"/>
      <c r="G34" s="365"/>
      <c r="H34" s="365"/>
      <c r="I34" s="365"/>
      <c r="J34" s="59"/>
      <c r="K34" s="35">
        <v>0.40277777777777773</v>
      </c>
      <c r="L34" s="21">
        <v>0.8125</v>
      </c>
      <c r="M34" s="14">
        <f t="shared" si="0"/>
        <v>0.40972222222222227</v>
      </c>
    </row>
    <row r="35" spans="1:13" x14ac:dyDescent="0.25">
      <c r="A35" t="s">
        <v>66</v>
      </c>
      <c r="B35" s="11">
        <v>44650</v>
      </c>
      <c r="C35" s="194" t="s">
        <v>203</v>
      </c>
      <c r="D35" s="194"/>
      <c r="E35" s="194"/>
      <c r="F35" s="194"/>
      <c r="G35" s="194"/>
      <c r="H35" s="194"/>
      <c r="I35" s="194"/>
      <c r="J35" s="18"/>
      <c r="K35" s="35">
        <v>0.40277777777777773</v>
      </c>
      <c r="L35" s="21">
        <v>0.8125</v>
      </c>
      <c r="M35" s="14">
        <f t="shared" si="0"/>
        <v>0.40972222222222227</v>
      </c>
    </row>
    <row r="36" spans="1:13" x14ac:dyDescent="0.25">
      <c r="A36" t="s">
        <v>67</v>
      </c>
      <c r="B36" s="11">
        <v>44651</v>
      </c>
      <c r="C36" s="291" t="s">
        <v>204</v>
      </c>
      <c r="D36" s="292"/>
      <c r="E36" s="292"/>
      <c r="F36" s="292"/>
      <c r="G36" s="292"/>
      <c r="H36" s="292"/>
      <c r="I36" s="293"/>
      <c r="J36" s="18"/>
      <c r="K36" s="35">
        <v>0.40277777777777773</v>
      </c>
      <c r="L36" s="21">
        <v>0.8125</v>
      </c>
      <c r="M36" s="14">
        <f t="shared" si="0"/>
        <v>0.40972222222222227</v>
      </c>
    </row>
    <row r="37" spans="1:13" x14ac:dyDescent="0.25">
      <c r="B37" s="2"/>
      <c r="M37" s="7"/>
    </row>
    <row r="38" spans="1:13" x14ac:dyDescent="0.25">
      <c r="B38" s="2"/>
    </row>
  </sheetData>
  <mergeCells count="37">
    <mergeCell ref="C5:J5"/>
    <mergeCell ref="B1:M1"/>
    <mergeCell ref="C2:E2"/>
    <mergeCell ref="G2:M2"/>
    <mergeCell ref="C3:E3"/>
    <mergeCell ref="G3:M3"/>
    <mergeCell ref="C17:I17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29:I29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36:I36"/>
    <mergeCell ref="C30:I30"/>
    <mergeCell ref="C31:I31"/>
    <mergeCell ref="C32:I32"/>
    <mergeCell ref="C33:I33"/>
    <mergeCell ref="C34:I34"/>
    <mergeCell ref="C35:I35"/>
  </mergeCells>
  <phoneticPr fontId="6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"/>
  <sheetViews>
    <sheetView workbookViewId="0">
      <selection activeCell="B37" sqref="B37"/>
    </sheetView>
  </sheetViews>
  <sheetFormatPr defaultColWidth="9.140625" defaultRowHeight="15" x14ac:dyDescent="0.25"/>
  <cols>
    <col min="1" max="1" width="11.42578125" bestFit="1" customWidth="1"/>
    <col min="2" max="2" width="15.7109375" bestFit="1" customWidth="1"/>
    <col min="6" max="6" width="11.7109375" bestFit="1" customWidth="1"/>
    <col min="9" max="9" width="34.42578125" customWidth="1"/>
    <col min="11" max="11" width="11.5703125" style="23" bestFit="1" customWidth="1"/>
    <col min="12" max="12" width="9.140625" style="23"/>
    <col min="13" max="13" width="11" bestFit="1" customWidth="1"/>
  </cols>
  <sheetData>
    <row r="1" spans="1:13" ht="18.75" x14ac:dyDescent="0.3">
      <c r="B1" s="356" t="s">
        <v>0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</row>
    <row r="2" spans="1:13" x14ac:dyDescent="0.25">
      <c r="B2" s="5" t="s">
        <v>1</v>
      </c>
      <c r="C2" s="357" t="s">
        <v>34</v>
      </c>
      <c r="D2" s="357"/>
      <c r="E2" s="357"/>
      <c r="F2" s="5" t="s">
        <v>8</v>
      </c>
      <c r="G2" s="357" t="s">
        <v>35</v>
      </c>
      <c r="H2" s="357"/>
      <c r="I2" s="357"/>
      <c r="J2" s="357"/>
      <c r="K2" s="357"/>
      <c r="L2" s="357"/>
      <c r="M2" s="357"/>
    </row>
    <row r="3" spans="1:13" x14ac:dyDescent="0.25">
      <c r="B3" s="5" t="s">
        <v>2</v>
      </c>
      <c r="C3" s="357" t="s">
        <v>36</v>
      </c>
      <c r="D3" s="357"/>
      <c r="E3" s="357"/>
      <c r="F3" s="5" t="s">
        <v>3</v>
      </c>
      <c r="G3" s="357" t="s">
        <v>13</v>
      </c>
      <c r="H3" s="357"/>
      <c r="I3" s="357"/>
      <c r="J3" s="357"/>
      <c r="K3" s="357"/>
      <c r="L3" s="357"/>
      <c r="M3" s="357"/>
    </row>
    <row r="4" spans="1:13" x14ac:dyDescent="0.25">
      <c r="B4" s="6"/>
      <c r="C4" s="6"/>
      <c r="D4" s="6"/>
      <c r="E4" s="6"/>
      <c r="F4" s="6"/>
      <c r="G4" s="6"/>
      <c r="H4" s="6"/>
      <c r="I4" s="6"/>
      <c r="J4" s="6"/>
      <c r="K4" s="33"/>
      <c r="L4" s="19"/>
      <c r="M4" s="19"/>
    </row>
    <row r="5" spans="1:13" x14ac:dyDescent="0.25">
      <c r="B5" s="73" t="s">
        <v>7</v>
      </c>
      <c r="C5" s="355" t="s">
        <v>4</v>
      </c>
      <c r="D5" s="355"/>
      <c r="E5" s="355"/>
      <c r="F5" s="355"/>
      <c r="G5" s="355"/>
      <c r="H5" s="355"/>
      <c r="I5" s="355"/>
      <c r="J5" s="355"/>
      <c r="K5" s="74" t="s">
        <v>5</v>
      </c>
      <c r="L5" s="75" t="s">
        <v>6</v>
      </c>
      <c r="M5" s="73"/>
    </row>
    <row r="6" spans="1:13" ht="14.45" customHeight="1" x14ac:dyDescent="0.25">
      <c r="A6" t="s">
        <v>65</v>
      </c>
      <c r="B6" s="11">
        <v>44593</v>
      </c>
      <c r="C6" s="282" t="s">
        <v>157</v>
      </c>
      <c r="D6" s="282"/>
      <c r="E6" s="282"/>
      <c r="F6" s="282"/>
      <c r="G6" s="282"/>
      <c r="H6" s="282"/>
      <c r="I6" s="282"/>
      <c r="J6" s="12"/>
      <c r="K6" s="35">
        <v>0.39583333333333331</v>
      </c>
      <c r="L6" s="21">
        <v>0.8125</v>
      </c>
      <c r="M6" s="14">
        <f>L6-K6</f>
        <v>0.41666666666666669</v>
      </c>
    </row>
    <row r="7" spans="1:13" x14ac:dyDescent="0.25">
      <c r="A7" t="s">
        <v>66</v>
      </c>
      <c r="B7" s="11">
        <v>44594</v>
      </c>
      <c r="C7" s="282" t="s">
        <v>156</v>
      </c>
      <c r="D7" s="282"/>
      <c r="E7" s="282"/>
      <c r="F7" s="282"/>
      <c r="G7" s="282"/>
      <c r="H7" s="282"/>
      <c r="I7" s="282"/>
      <c r="J7" s="15"/>
      <c r="K7" s="35">
        <v>0.39583333333333331</v>
      </c>
      <c r="L7" s="21">
        <v>0.8125</v>
      </c>
      <c r="M7" s="14">
        <f t="shared" ref="M7:M33" si="0">L7-K7</f>
        <v>0.41666666666666669</v>
      </c>
    </row>
    <row r="8" spans="1:13" x14ac:dyDescent="0.25">
      <c r="A8" t="s">
        <v>67</v>
      </c>
      <c r="B8" s="11">
        <v>44595</v>
      </c>
      <c r="C8" s="282" t="s">
        <v>155</v>
      </c>
      <c r="D8" s="282"/>
      <c r="E8" s="282"/>
      <c r="F8" s="282"/>
      <c r="G8" s="282"/>
      <c r="H8" s="282"/>
      <c r="I8" s="282"/>
      <c r="J8" s="11"/>
      <c r="K8" s="35">
        <v>0.39583333333333331</v>
      </c>
      <c r="L8" s="21">
        <v>0.8125</v>
      </c>
      <c r="M8" s="14">
        <f t="shared" si="0"/>
        <v>0.41666666666666669</v>
      </c>
    </row>
    <row r="9" spans="1:13" x14ac:dyDescent="0.25">
      <c r="A9" t="s">
        <v>68</v>
      </c>
      <c r="B9" s="11">
        <v>44596</v>
      </c>
      <c r="C9" s="282" t="s">
        <v>154</v>
      </c>
      <c r="D9" s="282"/>
      <c r="E9" s="282"/>
      <c r="F9" s="282"/>
      <c r="G9" s="282"/>
      <c r="H9" s="282"/>
      <c r="I9" s="282"/>
      <c r="J9" s="11"/>
      <c r="K9" s="35">
        <v>0.39583333333333331</v>
      </c>
      <c r="L9" s="21">
        <v>0.8125</v>
      </c>
      <c r="M9" s="14">
        <f t="shared" si="0"/>
        <v>0.41666666666666669</v>
      </c>
    </row>
    <row r="10" spans="1:13" ht="15" customHeight="1" x14ac:dyDescent="0.25">
      <c r="A10" s="61" t="s">
        <v>69</v>
      </c>
      <c r="B10" s="38">
        <v>44597</v>
      </c>
      <c r="C10" s="325" t="s">
        <v>158</v>
      </c>
      <c r="D10" s="326"/>
      <c r="E10" s="326"/>
      <c r="F10" s="326"/>
      <c r="G10" s="326"/>
      <c r="H10" s="326"/>
      <c r="I10" s="327"/>
      <c r="J10" s="38"/>
      <c r="K10" s="40">
        <v>0.4375</v>
      </c>
      <c r="L10" s="41">
        <v>0.8125</v>
      </c>
      <c r="M10" s="49">
        <f t="shared" si="0"/>
        <v>0.375</v>
      </c>
    </row>
    <row r="11" spans="1:13" ht="15" customHeight="1" x14ac:dyDescent="0.25">
      <c r="A11" s="61" t="s">
        <v>30</v>
      </c>
      <c r="B11" s="38">
        <v>44598</v>
      </c>
      <c r="C11" s="364" t="s">
        <v>30</v>
      </c>
      <c r="D11" s="364"/>
      <c r="E11" s="364"/>
      <c r="F11" s="364"/>
      <c r="G11" s="364"/>
      <c r="H11" s="364"/>
      <c r="I11" s="364"/>
      <c r="J11" s="42"/>
      <c r="K11" s="40"/>
      <c r="L11" s="41"/>
      <c r="M11" s="49"/>
    </row>
    <row r="12" spans="1:13" ht="15" customHeight="1" x14ac:dyDescent="0.25">
      <c r="A12" t="s">
        <v>64</v>
      </c>
      <c r="B12" s="11">
        <v>44599</v>
      </c>
      <c r="C12" s="312" t="s">
        <v>160</v>
      </c>
      <c r="D12" s="313"/>
      <c r="E12" s="313"/>
      <c r="F12" s="313"/>
      <c r="G12" s="313"/>
      <c r="H12" s="313"/>
      <c r="I12" s="314"/>
      <c r="J12" s="18"/>
      <c r="K12" s="35">
        <v>0.39583333333333331</v>
      </c>
      <c r="L12" s="21">
        <v>0.8125</v>
      </c>
      <c r="M12" s="14">
        <f t="shared" si="0"/>
        <v>0.41666666666666669</v>
      </c>
    </row>
    <row r="13" spans="1:13" x14ac:dyDescent="0.25">
      <c r="A13" t="s">
        <v>65</v>
      </c>
      <c r="B13" s="11">
        <v>44600</v>
      </c>
      <c r="C13" s="259" t="s">
        <v>159</v>
      </c>
      <c r="D13" s="259"/>
      <c r="E13" s="259"/>
      <c r="F13" s="259"/>
      <c r="G13" s="259"/>
      <c r="H13" s="259"/>
      <c r="I13" s="259"/>
      <c r="J13" s="18"/>
      <c r="K13" s="35">
        <v>0.39583333333333331</v>
      </c>
      <c r="L13" s="21">
        <v>0.8125</v>
      </c>
      <c r="M13" s="14">
        <f t="shared" si="0"/>
        <v>0.41666666666666669</v>
      </c>
    </row>
    <row r="14" spans="1:13" ht="15" customHeight="1" x14ac:dyDescent="0.25">
      <c r="A14" t="s">
        <v>66</v>
      </c>
      <c r="B14" s="11">
        <v>44601</v>
      </c>
      <c r="C14" s="194" t="s">
        <v>161</v>
      </c>
      <c r="D14" s="194"/>
      <c r="E14" s="194"/>
      <c r="F14" s="194"/>
      <c r="G14" s="194"/>
      <c r="H14" s="194"/>
      <c r="I14" s="194"/>
      <c r="J14" s="368" t="s">
        <v>171</v>
      </c>
      <c r="K14" s="35">
        <v>0.39583333333333331</v>
      </c>
      <c r="L14" s="21">
        <v>0.8125</v>
      </c>
      <c r="M14" s="14">
        <f t="shared" ref="M14:M17" si="1">L14-K14</f>
        <v>0.41666666666666669</v>
      </c>
    </row>
    <row r="15" spans="1:13" x14ac:dyDescent="0.25">
      <c r="A15" t="s">
        <v>67</v>
      </c>
      <c r="B15" s="11">
        <v>44602</v>
      </c>
      <c r="C15" s="259" t="s">
        <v>164</v>
      </c>
      <c r="D15" s="259"/>
      <c r="E15" s="259"/>
      <c r="F15" s="259"/>
      <c r="G15" s="259"/>
      <c r="H15" s="259"/>
      <c r="I15" s="259"/>
      <c r="J15" s="369"/>
      <c r="K15" s="35">
        <v>0.39583333333333331</v>
      </c>
      <c r="L15" s="21">
        <v>0.8125</v>
      </c>
      <c r="M15" s="14">
        <f t="shared" si="1"/>
        <v>0.41666666666666669</v>
      </c>
    </row>
    <row r="16" spans="1:13" x14ac:dyDescent="0.25">
      <c r="A16" t="s">
        <v>68</v>
      </c>
      <c r="B16" s="11">
        <v>44603</v>
      </c>
      <c r="C16" s="259" t="s">
        <v>162</v>
      </c>
      <c r="D16" s="259"/>
      <c r="E16" s="259"/>
      <c r="F16" s="259"/>
      <c r="G16" s="259"/>
      <c r="H16" s="259"/>
      <c r="I16" s="259"/>
      <c r="J16" s="369"/>
      <c r="K16" s="35">
        <v>0.39583333333333331</v>
      </c>
      <c r="L16" s="21">
        <v>0.8125</v>
      </c>
      <c r="M16" s="14">
        <f t="shared" si="1"/>
        <v>0.41666666666666669</v>
      </c>
    </row>
    <row r="17" spans="1:13" x14ac:dyDescent="0.25">
      <c r="A17" s="61" t="s">
        <v>69</v>
      </c>
      <c r="B17" s="38">
        <v>44604</v>
      </c>
      <c r="C17" s="283" t="s">
        <v>163</v>
      </c>
      <c r="D17" s="283"/>
      <c r="E17" s="283"/>
      <c r="F17" s="283"/>
      <c r="G17" s="283"/>
      <c r="H17" s="283"/>
      <c r="I17" s="283"/>
      <c r="J17" s="370"/>
      <c r="K17" s="40">
        <v>0.39583333333333331</v>
      </c>
      <c r="L17" s="41">
        <v>0.8125</v>
      </c>
      <c r="M17" s="49">
        <f t="shared" si="1"/>
        <v>0.41666666666666669</v>
      </c>
    </row>
    <row r="18" spans="1:13" x14ac:dyDescent="0.25">
      <c r="A18" s="61" t="s">
        <v>30</v>
      </c>
      <c r="B18" s="38">
        <v>44605</v>
      </c>
      <c r="C18" s="364" t="s">
        <v>30</v>
      </c>
      <c r="D18" s="364"/>
      <c r="E18" s="364"/>
      <c r="F18" s="364"/>
      <c r="G18" s="364"/>
      <c r="H18" s="364"/>
      <c r="I18" s="364"/>
      <c r="J18" s="42"/>
      <c r="K18" s="40"/>
      <c r="L18" s="41"/>
      <c r="M18" s="49"/>
    </row>
    <row r="19" spans="1:13" x14ac:dyDescent="0.25">
      <c r="A19" t="s">
        <v>64</v>
      </c>
      <c r="B19" s="11">
        <v>44606</v>
      </c>
      <c r="C19" s="259" t="s">
        <v>165</v>
      </c>
      <c r="D19" s="259"/>
      <c r="E19" s="259"/>
      <c r="F19" s="259"/>
      <c r="G19" s="259"/>
      <c r="H19" s="259"/>
      <c r="I19" s="259"/>
      <c r="J19" s="18"/>
      <c r="K19" s="35">
        <v>0.39583333333333331</v>
      </c>
      <c r="L19" s="21">
        <v>0.8125</v>
      </c>
      <c r="M19" s="14">
        <f t="shared" si="0"/>
        <v>0.41666666666666669</v>
      </c>
    </row>
    <row r="20" spans="1:13" ht="15" customHeight="1" x14ac:dyDescent="0.25">
      <c r="A20" t="s">
        <v>65</v>
      </c>
      <c r="B20" s="11">
        <v>44607</v>
      </c>
      <c r="C20" s="259" t="s">
        <v>166</v>
      </c>
      <c r="D20" s="259"/>
      <c r="E20" s="259"/>
      <c r="F20" s="259"/>
      <c r="G20" s="259"/>
      <c r="H20" s="259"/>
      <c r="I20" s="259"/>
      <c r="J20" s="51"/>
      <c r="K20" s="35">
        <v>0.39583333333333331</v>
      </c>
      <c r="L20" s="21">
        <v>0.85416666666666663</v>
      </c>
      <c r="M20" s="14">
        <f t="shared" si="0"/>
        <v>0.45833333333333331</v>
      </c>
    </row>
    <row r="21" spans="1:13" x14ac:dyDescent="0.25">
      <c r="A21" t="s">
        <v>66</v>
      </c>
      <c r="B21" s="11">
        <v>44608</v>
      </c>
      <c r="C21" s="291" t="s">
        <v>167</v>
      </c>
      <c r="D21" s="292"/>
      <c r="E21" s="292"/>
      <c r="F21" s="292"/>
      <c r="G21" s="292"/>
      <c r="H21" s="292"/>
      <c r="I21" s="293"/>
      <c r="J21" s="51"/>
      <c r="K21" s="35">
        <v>0.39583333333333331</v>
      </c>
      <c r="L21" s="21">
        <v>0.85416666666666663</v>
      </c>
      <c r="M21" s="14">
        <f t="shared" si="0"/>
        <v>0.45833333333333331</v>
      </c>
    </row>
    <row r="22" spans="1:13" x14ac:dyDescent="0.25">
      <c r="A22" t="s">
        <v>67</v>
      </c>
      <c r="B22" s="11">
        <v>44609</v>
      </c>
      <c r="C22" s="194" t="s">
        <v>169</v>
      </c>
      <c r="D22" s="194"/>
      <c r="E22" s="194"/>
      <c r="F22" s="194"/>
      <c r="G22" s="194"/>
      <c r="H22" s="194"/>
      <c r="I22" s="194"/>
      <c r="J22" s="51"/>
      <c r="K22" s="35">
        <v>0.35416666666666669</v>
      </c>
      <c r="L22" s="21">
        <v>0.85416666666666663</v>
      </c>
      <c r="M22" s="14">
        <f t="shared" si="0"/>
        <v>0.49999999999999994</v>
      </c>
    </row>
    <row r="23" spans="1:13" x14ac:dyDescent="0.25">
      <c r="A23" t="s">
        <v>68</v>
      </c>
      <c r="B23" s="11">
        <v>44610</v>
      </c>
      <c r="C23" s="259" t="s">
        <v>170</v>
      </c>
      <c r="D23" s="259"/>
      <c r="E23" s="259"/>
      <c r="F23" s="259"/>
      <c r="G23" s="259"/>
      <c r="H23" s="259"/>
      <c r="I23" s="259"/>
      <c r="J23" s="18"/>
      <c r="K23" s="35">
        <v>0.39583333333333331</v>
      </c>
      <c r="L23" s="21">
        <v>0.8125</v>
      </c>
      <c r="M23" s="14">
        <f t="shared" si="0"/>
        <v>0.41666666666666669</v>
      </c>
    </row>
    <row r="24" spans="1:13" x14ac:dyDescent="0.25">
      <c r="A24" s="61" t="s">
        <v>69</v>
      </c>
      <c r="B24" s="38">
        <v>44611</v>
      </c>
      <c r="C24" s="329" t="s">
        <v>168</v>
      </c>
      <c r="D24" s="329"/>
      <c r="E24" s="329"/>
      <c r="F24" s="329"/>
      <c r="G24" s="329"/>
      <c r="H24" s="329"/>
      <c r="I24" s="329"/>
      <c r="J24" s="42"/>
      <c r="K24" s="40">
        <v>0.39583333333333331</v>
      </c>
      <c r="L24" s="41">
        <v>0.77083333333333337</v>
      </c>
      <c r="M24" s="49">
        <f t="shared" si="0"/>
        <v>0.37500000000000006</v>
      </c>
    </row>
    <row r="25" spans="1:13" x14ac:dyDescent="0.25">
      <c r="A25" s="61" t="s">
        <v>30</v>
      </c>
      <c r="B25" s="38">
        <v>44612</v>
      </c>
      <c r="C25" s="283"/>
      <c r="D25" s="283"/>
      <c r="E25" s="283"/>
      <c r="F25" s="283"/>
      <c r="G25" s="283"/>
      <c r="H25" s="283"/>
      <c r="I25" s="283"/>
      <c r="J25" s="42"/>
      <c r="K25" s="40"/>
      <c r="L25" s="41"/>
      <c r="M25" s="49"/>
    </row>
    <row r="26" spans="1:13" x14ac:dyDescent="0.25">
      <c r="A26" t="s">
        <v>64</v>
      </c>
      <c r="B26" s="11">
        <v>44613</v>
      </c>
      <c r="C26" s="282" t="s">
        <v>172</v>
      </c>
      <c r="D26" s="282"/>
      <c r="E26" s="282"/>
      <c r="F26" s="282"/>
      <c r="G26" s="282"/>
      <c r="H26" s="282"/>
      <c r="I26" s="282"/>
      <c r="J26" s="18"/>
      <c r="K26" s="35">
        <v>0.39583333333333331</v>
      </c>
      <c r="L26" s="21">
        <v>0.8125</v>
      </c>
      <c r="M26" s="14">
        <f t="shared" si="0"/>
        <v>0.41666666666666669</v>
      </c>
    </row>
    <row r="27" spans="1:13" x14ac:dyDescent="0.25">
      <c r="A27" t="s">
        <v>65</v>
      </c>
      <c r="B27" s="11">
        <v>44614</v>
      </c>
      <c r="C27" s="282" t="s">
        <v>173</v>
      </c>
      <c r="D27" s="282"/>
      <c r="E27" s="282"/>
      <c r="F27" s="282"/>
      <c r="G27" s="282"/>
      <c r="H27" s="282"/>
      <c r="I27" s="282"/>
      <c r="J27" s="18"/>
      <c r="K27" s="35">
        <v>0.39583333333333331</v>
      </c>
      <c r="L27" s="21">
        <v>0.8125</v>
      </c>
      <c r="M27" s="14">
        <f t="shared" si="0"/>
        <v>0.41666666666666669</v>
      </c>
    </row>
    <row r="28" spans="1:13" x14ac:dyDescent="0.25">
      <c r="A28" t="s">
        <v>66</v>
      </c>
      <c r="B28" s="11">
        <v>44615</v>
      </c>
      <c r="C28" s="194" t="s">
        <v>174</v>
      </c>
      <c r="D28" s="354"/>
      <c r="E28" s="354"/>
      <c r="F28" s="354"/>
      <c r="G28" s="354"/>
      <c r="H28" s="354"/>
      <c r="I28" s="354"/>
      <c r="J28" s="37"/>
      <c r="K28" s="35">
        <v>0.39583333333333331</v>
      </c>
      <c r="L28" s="21">
        <v>0.8125</v>
      </c>
      <c r="M28" s="14">
        <f t="shared" si="0"/>
        <v>0.41666666666666669</v>
      </c>
    </row>
    <row r="29" spans="1:13" x14ac:dyDescent="0.25">
      <c r="A29" t="s">
        <v>67</v>
      </c>
      <c r="B29" s="11">
        <v>44616</v>
      </c>
      <c r="C29" s="336" t="s">
        <v>175</v>
      </c>
      <c r="D29" s="336"/>
      <c r="E29" s="336"/>
      <c r="F29" s="336"/>
      <c r="G29" s="336"/>
      <c r="H29" s="336"/>
      <c r="I29" s="336"/>
      <c r="J29" s="37"/>
      <c r="K29" s="35">
        <v>0.39583333333333331</v>
      </c>
      <c r="L29" s="21">
        <v>0.89583333333333337</v>
      </c>
      <c r="M29" s="14">
        <f t="shared" si="0"/>
        <v>0.5</v>
      </c>
    </row>
    <row r="30" spans="1:13" x14ac:dyDescent="0.25">
      <c r="A30" t="s">
        <v>68</v>
      </c>
      <c r="B30" s="11">
        <v>44617</v>
      </c>
      <c r="C30" s="336" t="s">
        <v>176</v>
      </c>
      <c r="D30" s="336"/>
      <c r="E30" s="336"/>
      <c r="F30" s="336"/>
      <c r="G30" s="336"/>
      <c r="H30" s="336"/>
      <c r="I30" s="336"/>
      <c r="J30" s="37"/>
      <c r="K30" s="35">
        <v>0.39583333333333331</v>
      </c>
      <c r="L30" s="21">
        <v>0.89583333333333337</v>
      </c>
      <c r="M30" s="14">
        <f t="shared" si="0"/>
        <v>0.5</v>
      </c>
    </row>
    <row r="31" spans="1:13" x14ac:dyDescent="0.25">
      <c r="A31" s="61" t="s">
        <v>69</v>
      </c>
      <c r="B31" s="38">
        <v>44618</v>
      </c>
      <c r="C31" s="329"/>
      <c r="D31" s="329"/>
      <c r="E31" s="329"/>
      <c r="F31" s="329"/>
      <c r="G31" s="329"/>
      <c r="H31" s="329"/>
      <c r="I31" s="329"/>
      <c r="J31" s="44"/>
      <c r="K31" s="40">
        <v>0.39583333333333331</v>
      </c>
      <c r="L31" s="41">
        <v>0.77083333333333337</v>
      </c>
      <c r="M31" s="49">
        <f t="shared" si="0"/>
        <v>0.37500000000000006</v>
      </c>
    </row>
    <row r="32" spans="1:13" x14ac:dyDescent="0.25">
      <c r="A32" s="61" t="s">
        <v>30</v>
      </c>
      <c r="B32" s="38">
        <v>44619</v>
      </c>
      <c r="C32" s="283"/>
      <c r="D32" s="283"/>
      <c r="E32" s="283"/>
      <c r="F32" s="283"/>
      <c r="G32" s="283"/>
      <c r="H32" s="283"/>
      <c r="I32" s="283"/>
      <c r="J32" s="42"/>
      <c r="K32" s="40"/>
      <c r="L32" s="41"/>
      <c r="M32" s="49">
        <f t="shared" si="0"/>
        <v>0</v>
      </c>
    </row>
    <row r="33" spans="1:13" x14ac:dyDescent="0.25">
      <c r="A33" t="s">
        <v>64</v>
      </c>
      <c r="B33" s="11">
        <v>44620</v>
      </c>
      <c r="C33" s="282" t="s">
        <v>177</v>
      </c>
      <c r="D33" s="282"/>
      <c r="E33" s="282"/>
      <c r="F33" s="282"/>
      <c r="G33" s="282"/>
      <c r="H33" s="282"/>
      <c r="I33" s="282"/>
      <c r="J33" s="18"/>
      <c r="K33" s="35">
        <v>0.39583333333333331</v>
      </c>
      <c r="L33" s="21">
        <v>0.8125</v>
      </c>
      <c r="M33" s="14">
        <f t="shared" si="0"/>
        <v>0.41666666666666669</v>
      </c>
    </row>
    <row r="34" spans="1:13" x14ac:dyDescent="0.25">
      <c r="B34" s="11"/>
      <c r="C34" s="365"/>
      <c r="D34" s="365"/>
      <c r="E34" s="365"/>
      <c r="F34" s="365"/>
      <c r="G34" s="365"/>
      <c r="H34" s="365"/>
      <c r="I34" s="365"/>
      <c r="J34" s="59"/>
      <c r="K34" s="35"/>
      <c r="L34" s="35"/>
      <c r="M34" s="14"/>
    </row>
    <row r="35" spans="1:13" x14ac:dyDescent="0.25">
      <c r="B35" s="11"/>
      <c r="C35" s="354"/>
      <c r="D35" s="354"/>
      <c r="E35" s="354"/>
      <c r="F35" s="354"/>
      <c r="G35" s="354"/>
      <c r="H35" s="354"/>
      <c r="I35" s="354"/>
      <c r="J35" s="18"/>
      <c r="K35" s="35"/>
      <c r="L35" s="35"/>
      <c r="M35" s="14"/>
    </row>
    <row r="36" spans="1:13" x14ac:dyDescent="0.25">
      <c r="B36" s="11"/>
      <c r="C36" s="291"/>
      <c r="D36" s="292"/>
      <c r="E36" s="292"/>
      <c r="F36" s="292"/>
      <c r="G36" s="292"/>
      <c r="H36" s="292"/>
      <c r="I36" s="293"/>
      <c r="J36" s="18"/>
      <c r="K36" s="35"/>
      <c r="L36" s="21"/>
      <c r="M36" s="14"/>
    </row>
    <row r="37" spans="1:13" x14ac:dyDescent="0.25">
      <c r="B37" s="2"/>
      <c r="M37" s="7"/>
    </row>
    <row r="38" spans="1:13" x14ac:dyDescent="0.25">
      <c r="B38" s="2"/>
    </row>
  </sheetData>
  <mergeCells count="38">
    <mergeCell ref="C6:I6"/>
    <mergeCell ref="C7:I7"/>
    <mergeCell ref="C8:I8"/>
    <mergeCell ref="C9:I9"/>
    <mergeCell ref="C5:J5"/>
    <mergeCell ref="B1:M1"/>
    <mergeCell ref="C2:E2"/>
    <mergeCell ref="G2:M2"/>
    <mergeCell ref="C3:E3"/>
    <mergeCell ref="G3:M3"/>
    <mergeCell ref="C10:I10"/>
    <mergeCell ref="C25:I25"/>
    <mergeCell ref="C26:I26"/>
    <mergeCell ref="C27:I27"/>
    <mergeCell ref="C28:I28"/>
    <mergeCell ref="C17:I17"/>
    <mergeCell ref="C16:I16"/>
    <mergeCell ref="C11:I11"/>
    <mergeCell ref="C12:I12"/>
    <mergeCell ref="C13:I13"/>
    <mergeCell ref="C14:I14"/>
    <mergeCell ref="C15:I15"/>
    <mergeCell ref="C21:I21"/>
    <mergeCell ref="C36:I36"/>
    <mergeCell ref="C30:I30"/>
    <mergeCell ref="C31:I31"/>
    <mergeCell ref="C32:I32"/>
    <mergeCell ref="C33:I33"/>
    <mergeCell ref="C34:I34"/>
    <mergeCell ref="C35:I35"/>
    <mergeCell ref="J14:J17"/>
    <mergeCell ref="C29:I29"/>
    <mergeCell ref="C18:I18"/>
    <mergeCell ref="C19:I19"/>
    <mergeCell ref="C20:I20"/>
    <mergeCell ref="C22:I22"/>
    <mergeCell ref="C23:I23"/>
    <mergeCell ref="C24:I24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8"/>
  <sheetViews>
    <sheetView workbookViewId="0">
      <selection activeCell="B37" sqref="B37"/>
    </sheetView>
  </sheetViews>
  <sheetFormatPr defaultRowHeight="15" x14ac:dyDescent="0.25"/>
  <cols>
    <col min="1" max="1" width="11.42578125" bestFit="1" customWidth="1"/>
    <col min="2" max="2" width="15.7109375" bestFit="1" customWidth="1"/>
    <col min="6" max="6" width="11.7109375" bestFit="1" customWidth="1"/>
    <col min="9" max="9" width="34.42578125" customWidth="1"/>
    <col min="11" max="11" width="11.5703125" style="23" bestFit="1" customWidth="1"/>
    <col min="12" max="12" width="9.140625" style="23"/>
    <col min="13" max="13" width="11" bestFit="1" customWidth="1"/>
  </cols>
  <sheetData>
    <row r="1" spans="1:13" ht="18.75" x14ac:dyDescent="0.3">
      <c r="B1" s="356" t="s">
        <v>0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</row>
    <row r="2" spans="1:13" x14ac:dyDescent="0.25">
      <c r="B2" s="5" t="s">
        <v>1</v>
      </c>
      <c r="C2" s="357" t="s">
        <v>34</v>
      </c>
      <c r="D2" s="357"/>
      <c r="E2" s="357"/>
      <c r="F2" s="5" t="s">
        <v>8</v>
      </c>
      <c r="G2" s="357" t="s">
        <v>35</v>
      </c>
      <c r="H2" s="357"/>
      <c r="I2" s="357"/>
      <c r="J2" s="357"/>
      <c r="K2" s="357"/>
      <c r="L2" s="357"/>
      <c r="M2" s="357"/>
    </row>
    <row r="3" spans="1:13" x14ac:dyDescent="0.25">
      <c r="B3" s="5" t="s">
        <v>2</v>
      </c>
      <c r="C3" s="357" t="s">
        <v>36</v>
      </c>
      <c r="D3" s="357"/>
      <c r="E3" s="357"/>
      <c r="F3" s="5" t="s">
        <v>3</v>
      </c>
      <c r="G3" s="357" t="s">
        <v>13</v>
      </c>
      <c r="H3" s="357"/>
      <c r="I3" s="357"/>
      <c r="J3" s="357"/>
      <c r="K3" s="357"/>
      <c r="L3" s="357"/>
      <c r="M3" s="357"/>
    </row>
    <row r="4" spans="1:13" x14ac:dyDescent="0.25">
      <c r="B4" s="6"/>
      <c r="C4" s="6"/>
      <c r="D4" s="6"/>
      <c r="E4" s="6"/>
      <c r="F4" s="6"/>
      <c r="G4" s="6"/>
      <c r="H4" s="6"/>
      <c r="I4" s="6"/>
      <c r="J4" s="6"/>
      <c r="K4" s="33"/>
      <c r="L4" s="19"/>
      <c r="M4" s="19"/>
    </row>
    <row r="5" spans="1:13" x14ac:dyDescent="0.25">
      <c r="B5" s="1" t="s">
        <v>7</v>
      </c>
      <c r="C5" s="371" t="s">
        <v>4</v>
      </c>
      <c r="D5" s="371"/>
      <c r="E5" s="371"/>
      <c r="F5" s="371"/>
      <c r="G5" s="371"/>
      <c r="H5" s="371"/>
      <c r="I5" s="371"/>
      <c r="J5" s="371"/>
      <c r="K5" s="34" t="s">
        <v>5</v>
      </c>
      <c r="L5" s="20" t="s">
        <v>6</v>
      </c>
      <c r="M5" s="1"/>
    </row>
    <row r="6" spans="1:13" ht="14.45" customHeight="1" x14ac:dyDescent="0.25">
      <c r="A6" s="64" t="s">
        <v>69</v>
      </c>
      <c r="B6" s="65">
        <v>44562</v>
      </c>
      <c r="C6" s="367" t="s">
        <v>130</v>
      </c>
      <c r="D6" s="367"/>
      <c r="E6" s="367"/>
      <c r="F6" s="367"/>
      <c r="G6" s="367"/>
      <c r="H6" s="367"/>
      <c r="I6" s="367"/>
      <c r="J6" s="72" t="s">
        <v>149</v>
      </c>
      <c r="K6" s="67">
        <v>0.39583333333333331</v>
      </c>
      <c r="L6" s="68">
        <v>0.8125</v>
      </c>
      <c r="M6" s="69">
        <f>L6-K6</f>
        <v>0.41666666666666669</v>
      </c>
    </row>
    <row r="7" spans="1:13" x14ac:dyDescent="0.25">
      <c r="A7" s="61" t="s">
        <v>30</v>
      </c>
      <c r="B7" s="38">
        <v>44563</v>
      </c>
      <c r="C7" s="283" t="s">
        <v>123</v>
      </c>
      <c r="D7" s="283"/>
      <c r="E7" s="283"/>
      <c r="F7" s="283"/>
      <c r="G7" s="283"/>
      <c r="H7" s="283"/>
      <c r="I7" s="283"/>
      <c r="J7" s="39"/>
      <c r="K7" s="40">
        <v>0.39583333333333331</v>
      </c>
      <c r="L7" s="41">
        <v>0.8125</v>
      </c>
      <c r="M7" s="49">
        <f t="shared" ref="M7:M36" si="0">L7-K7</f>
        <v>0.41666666666666669</v>
      </c>
    </row>
    <row r="8" spans="1:13" x14ac:dyDescent="0.25">
      <c r="A8" t="s">
        <v>64</v>
      </c>
      <c r="B8" s="11">
        <v>44564</v>
      </c>
      <c r="C8" s="282" t="s">
        <v>129</v>
      </c>
      <c r="D8" s="282"/>
      <c r="E8" s="282"/>
      <c r="F8" s="282"/>
      <c r="G8" s="282"/>
      <c r="H8" s="282"/>
      <c r="I8" s="282"/>
      <c r="J8" s="11"/>
      <c r="K8" s="35">
        <v>0.39583333333333331</v>
      </c>
      <c r="L8" s="21">
        <v>0.8125</v>
      </c>
      <c r="M8" s="49">
        <f t="shared" si="0"/>
        <v>0.41666666666666669</v>
      </c>
    </row>
    <row r="9" spans="1:13" x14ac:dyDescent="0.25">
      <c r="A9" t="s">
        <v>65</v>
      </c>
      <c r="B9" s="11">
        <v>44565</v>
      </c>
      <c r="C9" s="282" t="s">
        <v>128</v>
      </c>
      <c r="D9" s="282"/>
      <c r="E9" s="282"/>
      <c r="F9" s="282"/>
      <c r="G9" s="282"/>
      <c r="H9" s="282"/>
      <c r="I9" s="282"/>
      <c r="J9" s="11"/>
      <c r="K9" s="35">
        <v>0.39583333333333331</v>
      </c>
      <c r="L9" s="21">
        <v>0.8125</v>
      </c>
      <c r="M9" s="49">
        <f t="shared" si="0"/>
        <v>0.41666666666666669</v>
      </c>
    </row>
    <row r="10" spans="1:13" x14ac:dyDescent="0.25">
      <c r="A10" t="s">
        <v>66</v>
      </c>
      <c r="B10" s="11">
        <v>44566</v>
      </c>
      <c r="C10" s="194" t="s">
        <v>127</v>
      </c>
      <c r="D10" s="194"/>
      <c r="E10" s="194"/>
      <c r="F10" s="194"/>
      <c r="G10" s="194"/>
      <c r="H10" s="194"/>
      <c r="I10" s="194"/>
      <c r="J10" s="11"/>
      <c r="K10" s="35">
        <v>0.39583333333333331</v>
      </c>
      <c r="L10" s="21">
        <v>0.8125</v>
      </c>
      <c r="M10" s="49">
        <f t="shared" si="0"/>
        <v>0.41666666666666669</v>
      </c>
    </row>
    <row r="11" spans="1:13" ht="15" customHeight="1" x14ac:dyDescent="0.25">
      <c r="A11" t="s">
        <v>67</v>
      </c>
      <c r="B11" s="11">
        <v>44567</v>
      </c>
      <c r="C11" s="259" t="s">
        <v>126</v>
      </c>
      <c r="D11" s="259"/>
      <c r="E11" s="259"/>
      <c r="F11" s="259"/>
      <c r="G11" s="259"/>
      <c r="H11" s="259"/>
      <c r="I11" s="259"/>
      <c r="J11" s="18"/>
      <c r="K11" s="35">
        <v>0.39583333333333331</v>
      </c>
      <c r="L11" s="21">
        <v>0.8125</v>
      </c>
      <c r="M11" s="49">
        <f t="shared" si="0"/>
        <v>0.41666666666666669</v>
      </c>
    </row>
    <row r="12" spans="1:13" ht="15" customHeight="1" x14ac:dyDescent="0.25">
      <c r="A12" t="s">
        <v>68</v>
      </c>
      <c r="B12" s="11">
        <v>44568</v>
      </c>
      <c r="C12" s="312" t="s">
        <v>124</v>
      </c>
      <c r="D12" s="313"/>
      <c r="E12" s="313"/>
      <c r="F12" s="313"/>
      <c r="G12" s="313"/>
      <c r="H12" s="313"/>
      <c r="I12" s="314"/>
      <c r="J12" s="18"/>
      <c r="K12" s="35">
        <v>0.39583333333333331</v>
      </c>
      <c r="L12" s="21">
        <v>0.8125</v>
      </c>
      <c r="M12" s="49">
        <f t="shared" si="0"/>
        <v>0.41666666666666669</v>
      </c>
    </row>
    <row r="13" spans="1:13" x14ac:dyDescent="0.25">
      <c r="A13" s="61" t="s">
        <v>69</v>
      </c>
      <c r="B13" s="38">
        <v>44569</v>
      </c>
      <c r="C13" s="284" t="s">
        <v>125</v>
      </c>
      <c r="D13" s="284"/>
      <c r="E13" s="284"/>
      <c r="F13" s="284"/>
      <c r="G13" s="284"/>
      <c r="H13" s="284"/>
      <c r="I13" s="284"/>
      <c r="J13" s="42"/>
      <c r="K13" s="40">
        <v>0.39583333333333331</v>
      </c>
      <c r="L13" s="41">
        <v>0.77083333333333337</v>
      </c>
      <c r="M13" s="49">
        <f t="shared" si="0"/>
        <v>0.37500000000000006</v>
      </c>
    </row>
    <row r="14" spans="1:13" x14ac:dyDescent="0.25">
      <c r="A14" s="61" t="s">
        <v>30</v>
      </c>
      <c r="B14" s="38">
        <v>44570</v>
      </c>
      <c r="C14" s="364" t="s">
        <v>40</v>
      </c>
      <c r="D14" s="364"/>
      <c r="E14" s="364"/>
      <c r="F14" s="364"/>
      <c r="G14" s="364"/>
      <c r="H14" s="364"/>
      <c r="I14" s="364"/>
      <c r="J14" s="42"/>
      <c r="K14" s="40"/>
      <c r="L14" s="41"/>
      <c r="M14" s="49">
        <f t="shared" si="0"/>
        <v>0</v>
      </c>
    </row>
    <row r="15" spans="1:13" x14ac:dyDescent="0.25">
      <c r="A15" t="s">
        <v>64</v>
      </c>
      <c r="B15" s="11">
        <v>44571</v>
      </c>
      <c r="C15" s="259" t="s">
        <v>133</v>
      </c>
      <c r="D15" s="259"/>
      <c r="E15" s="259"/>
      <c r="F15" s="259"/>
      <c r="G15" s="259"/>
      <c r="H15" s="259"/>
      <c r="I15" s="259"/>
      <c r="J15" s="18"/>
      <c r="K15" s="35">
        <v>0.39583333333333331</v>
      </c>
      <c r="L15" s="21">
        <v>0.8125</v>
      </c>
      <c r="M15" s="49">
        <f t="shared" si="0"/>
        <v>0.41666666666666669</v>
      </c>
    </row>
    <row r="16" spans="1:13" x14ac:dyDescent="0.25">
      <c r="A16" t="s">
        <v>65</v>
      </c>
      <c r="B16" s="11">
        <v>44572</v>
      </c>
      <c r="C16" s="259" t="s">
        <v>132</v>
      </c>
      <c r="D16" s="259"/>
      <c r="E16" s="259"/>
      <c r="F16" s="259"/>
      <c r="G16" s="259"/>
      <c r="H16" s="259"/>
      <c r="I16" s="259"/>
      <c r="J16" s="35"/>
      <c r="K16" s="35">
        <v>0.39583333333333331</v>
      </c>
      <c r="L16" s="21">
        <v>0.8125</v>
      </c>
      <c r="M16" s="49">
        <f t="shared" si="0"/>
        <v>0.41666666666666669</v>
      </c>
    </row>
    <row r="17" spans="1:13" x14ac:dyDescent="0.25">
      <c r="A17" t="s">
        <v>66</v>
      </c>
      <c r="B17" s="11">
        <v>44573</v>
      </c>
      <c r="C17" s="282" t="s">
        <v>131</v>
      </c>
      <c r="D17" s="282"/>
      <c r="E17" s="282"/>
      <c r="F17" s="282"/>
      <c r="G17" s="282"/>
      <c r="H17" s="282"/>
      <c r="I17" s="282"/>
      <c r="J17" s="18"/>
      <c r="K17" s="35">
        <v>0.35416666666666669</v>
      </c>
      <c r="L17" s="21">
        <v>0.99930555555555556</v>
      </c>
      <c r="M17" s="49">
        <f t="shared" si="0"/>
        <v>0.64513888888888893</v>
      </c>
    </row>
    <row r="18" spans="1:13" x14ac:dyDescent="0.25">
      <c r="A18" t="s">
        <v>67</v>
      </c>
      <c r="B18" s="11">
        <v>44574</v>
      </c>
      <c r="C18" s="259" t="s">
        <v>134</v>
      </c>
      <c r="D18" s="259"/>
      <c r="E18" s="259"/>
      <c r="F18" s="259"/>
      <c r="G18" s="259"/>
      <c r="H18" s="259"/>
      <c r="I18" s="259"/>
      <c r="J18" s="18"/>
      <c r="K18" s="35">
        <v>0.39583333333333331</v>
      </c>
      <c r="L18" s="21">
        <v>0.8125</v>
      </c>
      <c r="M18" s="49">
        <f t="shared" si="0"/>
        <v>0.41666666666666669</v>
      </c>
    </row>
    <row r="19" spans="1:13" x14ac:dyDescent="0.25">
      <c r="A19" s="64" t="s">
        <v>68</v>
      </c>
      <c r="B19" s="65">
        <v>44575</v>
      </c>
      <c r="C19" s="366" t="s">
        <v>135</v>
      </c>
      <c r="D19" s="366"/>
      <c r="E19" s="366"/>
      <c r="F19" s="366"/>
      <c r="G19" s="366"/>
      <c r="H19" s="366"/>
      <c r="I19" s="366"/>
      <c r="J19" s="70" t="s">
        <v>147</v>
      </c>
      <c r="K19" s="67">
        <v>0.35416666666666669</v>
      </c>
      <c r="L19" s="68">
        <v>0.97916666666666663</v>
      </c>
      <c r="M19" s="69">
        <f t="shared" si="0"/>
        <v>0.625</v>
      </c>
    </row>
    <row r="20" spans="1:13" ht="15" customHeight="1" x14ac:dyDescent="0.25">
      <c r="A20" s="64" t="s">
        <v>69</v>
      </c>
      <c r="B20" s="65">
        <v>44576</v>
      </c>
      <c r="C20" s="366" t="s">
        <v>136</v>
      </c>
      <c r="D20" s="366"/>
      <c r="E20" s="366"/>
      <c r="F20" s="366"/>
      <c r="G20" s="366"/>
      <c r="H20" s="366"/>
      <c r="I20" s="366"/>
      <c r="J20" s="71" t="s">
        <v>147</v>
      </c>
      <c r="K20" s="67">
        <v>0.35416666666666669</v>
      </c>
      <c r="L20" s="68">
        <v>0.89583333333333337</v>
      </c>
      <c r="M20" s="69">
        <f t="shared" si="0"/>
        <v>0.54166666666666674</v>
      </c>
    </row>
    <row r="21" spans="1:13" x14ac:dyDescent="0.25">
      <c r="A21" s="61" t="s">
        <v>30</v>
      </c>
      <c r="B21" s="38">
        <v>44577</v>
      </c>
      <c r="C21" s="364" t="s">
        <v>40</v>
      </c>
      <c r="D21" s="364"/>
      <c r="E21" s="364"/>
      <c r="F21" s="364"/>
      <c r="G21" s="364"/>
      <c r="H21" s="364"/>
      <c r="I21" s="364"/>
      <c r="J21" s="62"/>
      <c r="K21" s="40"/>
      <c r="L21" s="41"/>
      <c r="M21" s="49">
        <f t="shared" si="0"/>
        <v>0</v>
      </c>
    </row>
    <row r="22" spans="1:13" x14ac:dyDescent="0.25">
      <c r="A22" t="s">
        <v>64</v>
      </c>
      <c r="B22" s="11">
        <v>44578</v>
      </c>
      <c r="C22" s="291" t="s">
        <v>138</v>
      </c>
      <c r="D22" s="292"/>
      <c r="E22" s="292"/>
      <c r="F22" s="292"/>
      <c r="G22" s="292"/>
      <c r="H22" s="292"/>
      <c r="I22" s="293"/>
      <c r="J22" s="51"/>
      <c r="K22" s="35">
        <v>0.39583333333333331</v>
      </c>
      <c r="L22" s="21">
        <v>0.8125</v>
      </c>
      <c r="M22" s="49">
        <f t="shared" si="0"/>
        <v>0.41666666666666669</v>
      </c>
    </row>
    <row r="23" spans="1:13" x14ac:dyDescent="0.25">
      <c r="A23" t="s">
        <v>65</v>
      </c>
      <c r="B23" s="11">
        <v>44579</v>
      </c>
      <c r="C23" s="259" t="s">
        <v>137</v>
      </c>
      <c r="D23" s="259"/>
      <c r="E23" s="259"/>
      <c r="F23" s="259"/>
      <c r="G23" s="259"/>
      <c r="H23" s="259"/>
      <c r="I23" s="259"/>
      <c r="J23" s="18"/>
      <c r="K23" s="35">
        <v>0.39583333333333331</v>
      </c>
      <c r="L23" s="21">
        <v>0.8125</v>
      </c>
      <c r="M23" s="49">
        <f t="shared" si="0"/>
        <v>0.41666666666666669</v>
      </c>
    </row>
    <row r="24" spans="1:13" x14ac:dyDescent="0.25">
      <c r="A24" t="s">
        <v>66</v>
      </c>
      <c r="B24" s="11">
        <v>44580</v>
      </c>
      <c r="C24" s="372" t="s">
        <v>139</v>
      </c>
      <c r="D24" s="282"/>
      <c r="E24" s="282"/>
      <c r="F24" s="282"/>
      <c r="G24" s="282"/>
      <c r="H24" s="282"/>
      <c r="I24" s="282"/>
      <c r="J24" s="18"/>
      <c r="K24" s="35">
        <v>0.39583333333333331</v>
      </c>
      <c r="L24" s="21">
        <v>0.8125</v>
      </c>
      <c r="M24" s="49">
        <f t="shared" si="0"/>
        <v>0.41666666666666669</v>
      </c>
    </row>
    <row r="25" spans="1:13" x14ac:dyDescent="0.25">
      <c r="A25" t="s">
        <v>67</v>
      </c>
      <c r="B25" s="11">
        <v>44581</v>
      </c>
      <c r="C25" s="282" t="s">
        <v>140</v>
      </c>
      <c r="D25" s="282"/>
      <c r="E25" s="282"/>
      <c r="F25" s="282"/>
      <c r="G25" s="282"/>
      <c r="H25" s="282"/>
      <c r="I25" s="282"/>
      <c r="J25" s="18"/>
      <c r="K25" s="35">
        <v>0.39583333333333331</v>
      </c>
      <c r="L25" s="21">
        <v>0.8125</v>
      </c>
      <c r="M25" s="49">
        <f t="shared" si="0"/>
        <v>0.41666666666666669</v>
      </c>
    </row>
    <row r="26" spans="1:13" x14ac:dyDescent="0.25">
      <c r="A26" t="s">
        <v>68</v>
      </c>
      <c r="B26" s="11">
        <v>44582</v>
      </c>
      <c r="C26" s="282" t="s">
        <v>141</v>
      </c>
      <c r="D26" s="282"/>
      <c r="E26" s="282"/>
      <c r="F26" s="282"/>
      <c r="G26" s="282"/>
      <c r="H26" s="282"/>
      <c r="I26" s="282"/>
      <c r="J26" s="18"/>
      <c r="K26" s="35">
        <v>0.39583333333333331</v>
      </c>
      <c r="L26" s="21">
        <v>0.8125</v>
      </c>
      <c r="M26" s="49">
        <f t="shared" si="0"/>
        <v>0.41666666666666669</v>
      </c>
    </row>
    <row r="27" spans="1:13" x14ac:dyDescent="0.25">
      <c r="A27" s="61" t="s">
        <v>69</v>
      </c>
      <c r="B27" s="38">
        <v>44583</v>
      </c>
      <c r="C27" s="283" t="s">
        <v>142</v>
      </c>
      <c r="D27" s="283"/>
      <c r="E27" s="283"/>
      <c r="F27" s="283"/>
      <c r="G27" s="283"/>
      <c r="H27" s="283"/>
      <c r="I27" s="283"/>
      <c r="J27" s="42"/>
      <c r="K27" s="40">
        <v>0.39583333333333331</v>
      </c>
      <c r="L27" s="40">
        <v>0.8125</v>
      </c>
      <c r="M27" s="49">
        <f t="shared" si="0"/>
        <v>0.41666666666666669</v>
      </c>
    </row>
    <row r="28" spans="1:13" x14ac:dyDescent="0.25">
      <c r="A28" s="61" t="s">
        <v>30</v>
      </c>
      <c r="B28" s="38">
        <v>44584</v>
      </c>
      <c r="C28" s="364" t="s">
        <v>40</v>
      </c>
      <c r="D28" s="364"/>
      <c r="E28" s="364"/>
      <c r="F28" s="364"/>
      <c r="G28" s="364"/>
      <c r="H28" s="364"/>
      <c r="I28" s="364"/>
      <c r="J28" s="44"/>
      <c r="K28" s="49">
        <f t="shared" ref="K28" si="1">J28-I28</f>
        <v>0</v>
      </c>
      <c r="L28" s="49">
        <f t="shared" ref="L28" si="2">K28-J28</f>
        <v>0</v>
      </c>
      <c r="M28" s="49">
        <f t="shared" si="0"/>
        <v>0</v>
      </c>
    </row>
    <row r="29" spans="1:13" x14ac:dyDescent="0.25">
      <c r="A29" t="s">
        <v>64</v>
      </c>
      <c r="B29" s="11">
        <v>44585</v>
      </c>
      <c r="C29" s="336" t="s">
        <v>143</v>
      </c>
      <c r="D29" s="336"/>
      <c r="E29" s="336"/>
      <c r="F29" s="336"/>
      <c r="G29" s="336"/>
      <c r="H29" s="336"/>
      <c r="I29" s="336"/>
      <c r="J29" s="37"/>
      <c r="K29" s="35">
        <v>0.39583333333333331</v>
      </c>
      <c r="L29" s="21">
        <v>0.8125</v>
      </c>
      <c r="M29" s="49">
        <f t="shared" si="0"/>
        <v>0.41666666666666669</v>
      </c>
    </row>
    <row r="30" spans="1:13" x14ac:dyDescent="0.25">
      <c r="A30" t="s">
        <v>65</v>
      </c>
      <c r="B30" s="11">
        <v>44586</v>
      </c>
      <c r="C30" s="336" t="s">
        <v>146</v>
      </c>
      <c r="D30" s="336"/>
      <c r="E30" s="336"/>
      <c r="F30" s="336"/>
      <c r="G30" s="336"/>
      <c r="H30" s="336"/>
      <c r="I30" s="336"/>
      <c r="J30" s="37"/>
      <c r="K30" s="35">
        <v>0.39583333333333331</v>
      </c>
      <c r="L30" s="21">
        <v>0.8125</v>
      </c>
      <c r="M30" s="49">
        <f t="shared" si="0"/>
        <v>0.41666666666666669</v>
      </c>
    </row>
    <row r="31" spans="1:13" x14ac:dyDescent="0.25">
      <c r="A31" s="64" t="s">
        <v>66</v>
      </c>
      <c r="B31" s="65">
        <v>44587</v>
      </c>
      <c r="C31" s="373" t="s">
        <v>145</v>
      </c>
      <c r="D31" s="373"/>
      <c r="E31" s="373"/>
      <c r="F31" s="373"/>
      <c r="G31" s="373"/>
      <c r="H31" s="373"/>
      <c r="I31" s="373"/>
      <c r="J31" s="66" t="s">
        <v>148</v>
      </c>
      <c r="K31" s="67"/>
      <c r="L31" s="68"/>
      <c r="M31" s="69">
        <f t="shared" si="0"/>
        <v>0</v>
      </c>
    </row>
    <row r="32" spans="1:13" x14ac:dyDescent="0.25">
      <c r="A32" t="s">
        <v>67</v>
      </c>
      <c r="B32" s="11">
        <v>44588</v>
      </c>
      <c r="C32" s="282" t="s">
        <v>144</v>
      </c>
      <c r="D32" s="282"/>
      <c r="E32" s="282"/>
      <c r="F32" s="282"/>
      <c r="G32" s="282"/>
      <c r="H32" s="282"/>
      <c r="I32" s="282"/>
      <c r="J32" s="18"/>
      <c r="K32" s="35">
        <v>0.40972222222222227</v>
      </c>
      <c r="L32" s="21">
        <v>0.8125</v>
      </c>
      <c r="M32" s="49">
        <f t="shared" si="0"/>
        <v>0.40277777777777773</v>
      </c>
    </row>
    <row r="33" spans="1:13" x14ac:dyDescent="0.25">
      <c r="A33" t="s">
        <v>68</v>
      </c>
      <c r="B33" s="11">
        <v>44589</v>
      </c>
      <c r="C33" s="282" t="s">
        <v>150</v>
      </c>
      <c r="D33" s="282"/>
      <c r="E33" s="282"/>
      <c r="F33" s="282"/>
      <c r="G33" s="282"/>
      <c r="H33" s="282"/>
      <c r="I33" s="282"/>
      <c r="J33" s="18"/>
      <c r="K33" s="35">
        <v>0.40972222222222227</v>
      </c>
      <c r="L33" s="21">
        <v>0.8125</v>
      </c>
      <c r="M33" s="49">
        <f t="shared" si="0"/>
        <v>0.40277777777777773</v>
      </c>
    </row>
    <row r="34" spans="1:13" x14ac:dyDescent="0.25">
      <c r="A34" s="61" t="s">
        <v>69</v>
      </c>
      <c r="B34" s="38">
        <v>44590</v>
      </c>
      <c r="C34" s="374" t="s">
        <v>151</v>
      </c>
      <c r="D34" s="374"/>
      <c r="E34" s="374"/>
      <c r="F34" s="374"/>
      <c r="G34" s="374"/>
      <c r="H34" s="374"/>
      <c r="I34" s="374"/>
      <c r="J34" s="63"/>
      <c r="K34" s="40">
        <v>0.40972222222222227</v>
      </c>
      <c r="L34" s="40">
        <v>0.8125</v>
      </c>
      <c r="M34" s="49">
        <f t="shared" si="0"/>
        <v>0.40277777777777773</v>
      </c>
    </row>
    <row r="35" spans="1:13" x14ac:dyDescent="0.25">
      <c r="A35" s="61" t="s">
        <v>30</v>
      </c>
      <c r="B35" s="38">
        <v>44591</v>
      </c>
      <c r="C35" s="364" t="s">
        <v>153</v>
      </c>
      <c r="D35" s="364"/>
      <c r="E35" s="364"/>
      <c r="F35" s="364"/>
      <c r="G35" s="364"/>
      <c r="H35" s="364"/>
      <c r="I35" s="364"/>
      <c r="J35" s="42"/>
      <c r="K35" s="40">
        <v>0.41666666666666669</v>
      </c>
      <c r="L35" s="40">
        <v>0.52083333333333337</v>
      </c>
      <c r="M35" s="49">
        <f t="shared" si="0"/>
        <v>0.10416666666666669</v>
      </c>
    </row>
    <row r="36" spans="1:13" x14ac:dyDescent="0.25">
      <c r="A36" t="s">
        <v>64</v>
      </c>
      <c r="B36" s="11">
        <v>44592</v>
      </c>
      <c r="C36" s="291" t="s">
        <v>152</v>
      </c>
      <c r="D36" s="292"/>
      <c r="E36" s="292"/>
      <c r="F36" s="292"/>
      <c r="G36" s="292"/>
      <c r="H36" s="292"/>
      <c r="I36" s="293"/>
      <c r="J36" s="18"/>
      <c r="K36" s="35">
        <v>0.40277777777777773</v>
      </c>
      <c r="L36" s="21">
        <v>0.8125</v>
      </c>
      <c r="M36" s="49">
        <f t="shared" si="0"/>
        <v>0.40972222222222227</v>
      </c>
    </row>
    <row r="37" spans="1:13" x14ac:dyDescent="0.25">
      <c r="B37" s="2"/>
      <c r="M37" s="7"/>
    </row>
    <row r="38" spans="1:13" x14ac:dyDescent="0.25">
      <c r="B38" s="2"/>
    </row>
  </sheetData>
  <mergeCells count="37">
    <mergeCell ref="C36:I36"/>
    <mergeCell ref="C30:I30"/>
    <mergeCell ref="C31:I31"/>
    <mergeCell ref="C32:I32"/>
    <mergeCell ref="C33:I33"/>
    <mergeCell ref="C34:I34"/>
    <mergeCell ref="C35:I35"/>
    <mergeCell ref="C29:I29"/>
    <mergeCell ref="C18:I18"/>
    <mergeCell ref="C19:I19"/>
    <mergeCell ref="C20:I20"/>
    <mergeCell ref="C21:I21"/>
    <mergeCell ref="C23:I23"/>
    <mergeCell ref="C24:I24"/>
    <mergeCell ref="C25:I25"/>
    <mergeCell ref="C26:I26"/>
    <mergeCell ref="C27:I27"/>
    <mergeCell ref="C28:I28"/>
    <mergeCell ref="C22:I22"/>
    <mergeCell ref="C17:I17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5:J5"/>
    <mergeCell ref="B1:M1"/>
    <mergeCell ref="C2:E2"/>
    <mergeCell ref="G2:M2"/>
    <mergeCell ref="C3:E3"/>
    <mergeCell ref="G3:M3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8"/>
  <sheetViews>
    <sheetView workbookViewId="0">
      <selection activeCell="B37" sqref="B37"/>
    </sheetView>
  </sheetViews>
  <sheetFormatPr defaultRowHeight="15" x14ac:dyDescent="0.25"/>
  <cols>
    <col min="1" max="1" width="11.42578125" bestFit="1" customWidth="1"/>
    <col min="2" max="2" width="15.7109375" bestFit="1" customWidth="1"/>
    <col min="6" max="6" width="11.7109375" bestFit="1" customWidth="1"/>
    <col min="9" max="9" width="19.7109375" customWidth="1"/>
    <col min="11" max="12" width="9.140625" style="23"/>
    <col min="13" max="13" width="11" bestFit="1" customWidth="1"/>
  </cols>
  <sheetData>
    <row r="1" spans="1:13" ht="18.75" x14ac:dyDescent="0.3">
      <c r="B1" s="356" t="s">
        <v>0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</row>
    <row r="2" spans="1:13" x14ac:dyDescent="0.25">
      <c r="B2" s="5" t="s">
        <v>1</v>
      </c>
      <c r="C2" s="357" t="s">
        <v>34</v>
      </c>
      <c r="D2" s="357"/>
      <c r="E2" s="357"/>
      <c r="F2" s="5" t="s">
        <v>8</v>
      </c>
      <c r="G2" s="357" t="s">
        <v>35</v>
      </c>
      <c r="H2" s="357"/>
      <c r="I2" s="357"/>
      <c r="J2" s="357"/>
      <c r="K2" s="357"/>
      <c r="L2" s="357"/>
      <c r="M2" s="357"/>
    </row>
    <row r="3" spans="1:13" x14ac:dyDescent="0.25">
      <c r="B3" s="5" t="s">
        <v>2</v>
      </c>
      <c r="C3" s="357" t="s">
        <v>36</v>
      </c>
      <c r="D3" s="357"/>
      <c r="E3" s="357"/>
      <c r="F3" s="5" t="s">
        <v>3</v>
      </c>
      <c r="G3" s="357" t="s">
        <v>13</v>
      </c>
      <c r="H3" s="357"/>
      <c r="I3" s="357"/>
      <c r="J3" s="357"/>
      <c r="K3" s="357"/>
      <c r="L3" s="357"/>
      <c r="M3" s="357"/>
    </row>
    <row r="4" spans="1:13" x14ac:dyDescent="0.25">
      <c r="B4" s="6"/>
      <c r="C4" s="6"/>
      <c r="D4" s="6"/>
      <c r="E4" s="6"/>
      <c r="F4" s="6"/>
      <c r="G4" s="6"/>
      <c r="H4" s="6"/>
      <c r="I4" s="6"/>
      <c r="J4" s="6"/>
      <c r="K4" s="33"/>
      <c r="L4" s="19"/>
      <c r="M4" s="19"/>
    </row>
    <row r="5" spans="1:13" x14ac:dyDescent="0.25">
      <c r="B5" s="1" t="s">
        <v>7</v>
      </c>
      <c r="C5" s="371" t="s">
        <v>4</v>
      </c>
      <c r="D5" s="371"/>
      <c r="E5" s="371"/>
      <c r="F5" s="371"/>
      <c r="G5" s="371"/>
      <c r="H5" s="371"/>
      <c r="I5" s="371"/>
      <c r="J5" s="371"/>
      <c r="K5" s="34" t="s">
        <v>5</v>
      </c>
      <c r="L5" s="20" t="s">
        <v>6</v>
      </c>
      <c r="M5" s="1"/>
    </row>
    <row r="6" spans="1:13" ht="14.45" customHeight="1" x14ac:dyDescent="0.25">
      <c r="A6" t="s">
        <v>96</v>
      </c>
      <c r="B6" s="11">
        <v>44531</v>
      </c>
      <c r="C6" s="282" t="s">
        <v>97</v>
      </c>
      <c r="D6" s="282"/>
      <c r="E6" s="282"/>
      <c r="F6" s="282"/>
      <c r="G6" s="282"/>
      <c r="H6" s="282"/>
      <c r="I6" s="282"/>
      <c r="J6" s="12"/>
      <c r="K6" s="35">
        <v>0.3888888888888889</v>
      </c>
      <c r="L6" s="21">
        <v>0.8125</v>
      </c>
      <c r="M6" s="14">
        <f>L6-K6</f>
        <v>0.4236111111111111</v>
      </c>
    </row>
    <row r="7" spans="1:13" x14ac:dyDescent="0.25">
      <c r="A7" t="s">
        <v>67</v>
      </c>
      <c r="B7" s="11">
        <v>44532</v>
      </c>
      <c r="C7" s="282" t="s">
        <v>99</v>
      </c>
      <c r="D7" s="282"/>
      <c r="E7" s="282"/>
      <c r="F7" s="282"/>
      <c r="G7" s="282"/>
      <c r="H7" s="282"/>
      <c r="I7" s="282"/>
      <c r="J7" s="15"/>
      <c r="K7" s="35">
        <v>0.3888888888888889</v>
      </c>
      <c r="L7" s="21">
        <v>0.97916666666666663</v>
      </c>
      <c r="M7" s="14">
        <f t="shared" ref="M7:M36" si="0">L7-K7</f>
        <v>0.59027777777777768</v>
      </c>
    </row>
    <row r="8" spans="1:13" x14ac:dyDescent="0.25">
      <c r="A8" t="s">
        <v>68</v>
      </c>
      <c r="B8" s="11">
        <v>44533</v>
      </c>
      <c r="C8" s="282" t="s">
        <v>98</v>
      </c>
      <c r="D8" s="282"/>
      <c r="E8" s="282"/>
      <c r="F8" s="282"/>
      <c r="G8" s="282"/>
      <c r="H8" s="282"/>
      <c r="I8" s="282"/>
      <c r="J8" s="11"/>
      <c r="K8" s="35">
        <v>0.3888888888888889</v>
      </c>
      <c r="L8" s="21">
        <v>0.97916666666666663</v>
      </c>
      <c r="M8" s="14">
        <f t="shared" si="0"/>
        <v>0.59027777777777768</v>
      </c>
    </row>
    <row r="9" spans="1:13" x14ac:dyDescent="0.25">
      <c r="A9" s="57" t="s">
        <v>69</v>
      </c>
      <c r="B9" s="52">
        <v>44534</v>
      </c>
      <c r="C9" s="378" t="s">
        <v>100</v>
      </c>
      <c r="D9" s="378"/>
      <c r="E9" s="378"/>
      <c r="F9" s="378"/>
      <c r="G9" s="378"/>
      <c r="H9" s="378"/>
      <c r="I9" s="378"/>
      <c r="J9" s="52"/>
      <c r="K9" s="54">
        <v>0.3888888888888889</v>
      </c>
      <c r="L9" s="55">
        <v>0.8125</v>
      </c>
      <c r="M9" s="14">
        <f t="shared" si="0"/>
        <v>0.4236111111111111</v>
      </c>
    </row>
    <row r="10" spans="1:13" x14ac:dyDescent="0.25">
      <c r="A10" s="57" t="s">
        <v>30</v>
      </c>
      <c r="B10" s="52">
        <v>44535</v>
      </c>
      <c r="C10" s="379" t="s">
        <v>40</v>
      </c>
      <c r="D10" s="376"/>
      <c r="E10" s="376"/>
      <c r="F10" s="376"/>
      <c r="G10" s="376"/>
      <c r="H10" s="376"/>
      <c r="I10" s="376"/>
      <c r="J10" s="52"/>
      <c r="K10" s="54"/>
      <c r="L10" s="55"/>
      <c r="M10" s="14">
        <f t="shared" si="0"/>
        <v>0</v>
      </c>
    </row>
    <row r="11" spans="1:13" ht="15" customHeight="1" x14ac:dyDescent="0.25">
      <c r="A11" t="s">
        <v>64</v>
      </c>
      <c r="B11" s="11">
        <v>44536</v>
      </c>
      <c r="C11" s="259" t="s">
        <v>101</v>
      </c>
      <c r="D11" s="259"/>
      <c r="E11" s="259"/>
      <c r="F11" s="259"/>
      <c r="G11" s="259"/>
      <c r="H11" s="259"/>
      <c r="I11" s="259"/>
      <c r="J11" s="18"/>
      <c r="K11" s="35">
        <v>0.3888888888888889</v>
      </c>
      <c r="L11" s="21">
        <v>0.99305555555555547</v>
      </c>
      <c r="M11" s="14">
        <f t="shared" si="0"/>
        <v>0.60416666666666652</v>
      </c>
    </row>
    <row r="12" spans="1:13" ht="15" customHeight="1" x14ac:dyDescent="0.25">
      <c r="A12" t="s">
        <v>65</v>
      </c>
      <c r="B12" s="11">
        <v>44537</v>
      </c>
      <c r="C12" s="312" t="s">
        <v>102</v>
      </c>
      <c r="D12" s="313"/>
      <c r="E12" s="313"/>
      <c r="F12" s="313"/>
      <c r="G12" s="313"/>
      <c r="H12" s="313"/>
      <c r="I12" s="314"/>
      <c r="J12" s="18"/>
      <c r="K12" s="35">
        <v>0.3888888888888889</v>
      </c>
      <c r="L12" s="21">
        <v>0.99305555555555547</v>
      </c>
      <c r="M12" s="14">
        <f t="shared" si="0"/>
        <v>0.60416666666666652</v>
      </c>
    </row>
    <row r="13" spans="1:13" x14ac:dyDescent="0.25">
      <c r="A13" t="s">
        <v>66</v>
      </c>
      <c r="B13" s="11">
        <v>44538</v>
      </c>
      <c r="C13" s="259" t="s">
        <v>110</v>
      </c>
      <c r="D13" s="259"/>
      <c r="E13" s="259"/>
      <c r="F13" s="259"/>
      <c r="G13" s="259"/>
      <c r="H13" s="259"/>
      <c r="I13" s="259"/>
      <c r="J13" s="18"/>
      <c r="K13" s="35">
        <v>0.3888888888888889</v>
      </c>
      <c r="L13" s="21">
        <v>0.99305555555555547</v>
      </c>
      <c r="M13" s="14">
        <f t="shared" si="0"/>
        <v>0.60416666666666652</v>
      </c>
    </row>
    <row r="14" spans="1:13" x14ac:dyDescent="0.25">
      <c r="A14" t="s">
        <v>67</v>
      </c>
      <c r="B14" s="11">
        <v>44539</v>
      </c>
      <c r="C14" s="259" t="s">
        <v>103</v>
      </c>
      <c r="D14" s="259"/>
      <c r="E14" s="259"/>
      <c r="F14" s="259"/>
      <c r="G14" s="259"/>
      <c r="H14" s="259"/>
      <c r="I14" s="259"/>
      <c r="J14" s="18"/>
      <c r="K14" s="35">
        <v>0.3888888888888889</v>
      </c>
      <c r="L14" s="21">
        <v>0.99305555555555547</v>
      </c>
      <c r="M14" s="14">
        <f t="shared" si="0"/>
        <v>0.60416666666666652</v>
      </c>
    </row>
    <row r="15" spans="1:13" x14ac:dyDescent="0.25">
      <c r="A15" t="s">
        <v>68</v>
      </c>
      <c r="B15" s="11">
        <v>44540</v>
      </c>
      <c r="C15" s="259" t="s">
        <v>104</v>
      </c>
      <c r="D15" s="259"/>
      <c r="E15" s="259"/>
      <c r="F15" s="259"/>
      <c r="G15" s="259"/>
      <c r="H15" s="259"/>
      <c r="I15" s="259"/>
      <c r="J15" s="18"/>
      <c r="K15" s="35">
        <v>0.3888888888888889</v>
      </c>
      <c r="L15" s="21">
        <v>0.99305555555555547</v>
      </c>
      <c r="M15" s="14">
        <f t="shared" si="0"/>
        <v>0.60416666666666652</v>
      </c>
    </row>
    <row r="16" spans="1:13" x14ac:dyDescent="0.25">
      <c r="A16" s="57" t="s">
        <v>69</v>
      </c>
      <c r="B16" s="52">
        <v>44541</v>
      </c>
      <c r="C16" s="376" t="s">
        <v>105</v>
      </c>
      <c r="D16" s="376"/>
      <c r="E16" s="376"/>
      <c r="F16" s="376"/>
      <c r="G16" s="376"/>
      <c r="H16" s="376"/>
      <c r="I16" s="376"/>
      <c r="J16" s="54"/>
      <c r="K16" s="54">
        <v>0.3888888888888889</v>
      </c>
      <c r="L16" s="55">
        <v>0.8125</v>
      </c>
      <c r="M16" s="56">
        <f t="shared" si="0"/>
        <v>0.4236111111111111</v>
      </c>
    </row>
    <row r="17" spans="1:13" x14ac:dyDescent="0.25">
      <c r="A17" s="57" t="s">
        <v>30</v>
      </c>
      <c r="B17" s="52">
        <v>44542</v>
      </c>
      <c r="C17" s="378"/>
      <c r="D17" s="378"/>
      <c r="E17" s="378"/>
      <c r="F17" s="378"/>
      <c r="G17" s="378"/>
      <c r="H17" s="378"/>
      <c r="I17" s="378"/>
      <c r="J17" s="53"/>
      <c r="K17" s="54"/>
      <c r="L17" s="55"/>
      <c r="M17" s="14">
        <f t="shared" si="0"/>
        <v>0</v>
      </c>
    </row>
    <row r="18" spans="1:13" x14ac:dyDescent="0.25">
      <c r="A18" t="s">
        <v>64</v>
      </c>
      <c r="B18" s="11">
        <v>44543</v>
      </c>
      <c r="C18" s="259" t="s">
        <v>106</v>
      </c>
      <c r="D18" s="259"/>
      <c r="E18" s="259"/>
      <c r="F18" s="259"/>
      <c r="G18" s="259"/>
      <c r="H18" s="259"/>
      <c r="I18" s="259"/>
      <c r="J18" s="18"/>
      <c r="K18" s="35">
        <v>0.3888888888888889</v>
      </c>
      <c r="L18" s="21">
        <v>0.8125</v>
      </c>
      <c r="M18" s="14">
        <f t="shared" si="0"/>
        <v>0.4236111111111111</v>
      </c>
    </row>
    <row r="19" spans="1:13" x14ac:dyDescent="0.25">
      <c r="A19" t="s">
        <v>65</v>
      </c>
      <c r="B19" s="11">
        <v>44544</v>
      </c>
      <c r="C19" s="259" t="s">
        <v>107</v>
      </c>
      <c r="D19" s="259"/>
      <c r="E19" s="259"/>
      <c r="F19" s="259"/>
      <c r="G19" s="259"/>
      <c r="H19" s="259"/>
      <c r="I19" s="259"/>
      <c r="J19" s="18"/>
      <c r="K19" s="35">
        <v>0.39583333333333331</v>
      </c>
      <c r="L19" s="21">
        <v>0.8125</v>
      </c>
      <c r="M19" s="14">
        <f t="shared" si="0"/>
        <v>0.41666666666666669</v>
      </c>
    </row>
    <row r="20" spans="1:13" x14ac:dyDescent="0.25">
      <c r="A20" t="s">
        <v>66</v>
      </c>
      <c r="B20" s="11">
        <v>44545</v>
      </c>
      <c r="C20" s="259" t="s">
        <v>108</v>
      </c>
      <c r="D20" s="259"/>
      <c r="E20" s="259"/>
      <c r="F20" s="259"/>
      <c r="G20" s="259"/>
      <c r="H20" s="259"/>
      <c r="I20" s="259"/>
      <c r="J20" s="51"/>
      <c r="K20" s="35">
        <v>0.39583333333333331</v>
      </c>
      <c r="L20" s="21">
        <v>0.83333333333333337</v>
      </c>
      <c r="M20" s="14">
        <f t="shared" si="0"/>
        <v>0.43750000000000006</v>
      </c>
    </row>
    <row r="21" spans="1:13" x14ac:dyDescent="0.25">
      <c r="A21" t="s">
        <v>67</v>
      </c>
      <c r="B21" s="11">
        <v>44546</v>
      </c>
      <c r="C21" s="259" t="s">
        <v>109</v>
      </c>
      <c r="D21" s="259"/>
      <c r="E21" s="259"/>
      <c r="F21" s="259"/>
      <c r="G21" s="259"/>
      <c r="H21" s="259"/>
      <c r="I21" s="259"/>
      <c r="J21" s="51"/>
      <c r="K21" s="35">
        <v>0.39583333333333331</v>
      </c>
      <c r="L21" s="21">
        <v>0.8125</v>
      </c>
      <c r="M21" s="14">
        <f t="shared" si="0"/>
        <v>0.41666666666666669</v>
      </c>
    </row>
    <row r="22" spans="1:13" x14ac:dyDescent="0.25">
      <c r="A22" t="s">
        <v>68</v>
      </c>
      <c r="B22" s="11">
        <v>44547</v>
      </c>
      <c r="C22" s="259" t="s">
        <v>112</v>
      </c>
      <c r="D22" s="259"/>
      <c r="E22" s="259"/>
      <c r="F22" s="259"/>
      <c r="G22" s="259"/>
      <c r="H22" s="259"/>
      <c r="I22" s="259"/>
      <c r="J22" s="51"/>
      <c r="K22" s="35">
        <v>0.39583333333333331</v>
      </c>
      <c r="L22" s="21">
        <v>0.8125</v>
      </c>
      <c r="M22" s="14">
        <f t="shared" si="0"/>
        <v>0.41666666666666669</v>
      </c>
    </row>
    <row r="23" spans="1:13" x14ac:dyDescent="0.25">
      <c r="A23" s="57" t="s">
        <v>69</v>
      </c>
      <c r="B23" s="52">
        <v>44548</v>
      </c>
      <c r="C23" s="376" t="s">
        <v>111</v>
      </c>
      <c r="D23" s="376"/>
      <c r="E23" s="376"/>
      <c r="F23" s="376"/>
      <c r="G23" s="376"/>
      <c r="H23" s="376"/>
      <c r="I23" s="376"/>
      <c r="J23" s="53"/>
      <c r="K23" s="35">
        <v>0.39583333333333331</v>
      </c>
      <c r="L23" s="21">
        <v>0.8125</v>
      </c>
      <c r="M23" s="14">
        <f t="shared" si="0"/>
        <v>0.41666666666666669</v>
      </c>
    </row>
    <row r="24" spans="1:13" x14ac:dyDescent="0.25">
      <c r="A24" s="57" t="s">
        <v>30</v>
      </c>
      <c r="B24" s="52">
        <v>44549</v>
      </c>
      <c r="C24" s="377" t="s">
        <v>40</v>
      </c>
      <c r="D24" s="378"/>
      <c r="E24" s="378"/>
      <c r="F24" s="378"/>
      <c r="G24" s="378"/>
      <c r="H24" s="378"/>
      <c r="I24" s="378"/>
      <c r="J24" s="53"/>
      <c r="K24" s="54"/>
      <c r="L24" s="55"/>
      <c r="M24" s="14">
        <f t="shared" si="0"/>
        <v>0</v>
      </c>
    </row>
    <row r="25" spans="1:13" x14ac:dyDescent="0.25">
      <c r="A25" t="s">
        <v>64</v>
      </c>
      <c r="B25" s="11">
        <v>44550</v>
      </c>
      <c r="C25" s="282" t="s">
        <v>117</v>
      </c>
      <c r="D25" s="282"/>
      <c r="E25" s="282"/>
      <c r="F25" s="282"/>
      <c r="G25" s="282"/>
      <c r="H25" s="282"/>
      <c r="I25" s="282"/>
      <c r="J25" s="18"/>
      <c r="K25" s="35">
        <v>0.39583333333333331</v>
      </c>
      <c r="L25" s="21">
        <v>0.8125</v>
      </c>
      <c r="M25" s="14">
        <f t="shared" si="0"/>
        <v>0.41666666666666669</v>
      </c>
    </row>
    <row r="26" spans="1:13" x14ac:dyDescent="0.25">
      <c r="A26" t="s">
        <v>65</v>
      </c>
      <c r="B26" s="11">
        <v>44551</v>
      </c>
      <c r="C26" s="282" t="s">
        <v>116</v>
      </c>
      <c r="D26" s="282"/>
      <c r="E26" s="282"/>
      <c r="F26" s="282"/>
      <c r="G26" s="282"/>
      <c r="H26" s="282"/>
      <c r="I26" s="282"/>
      <c r="J26" s="18"/>
      <c r="K26" s="35">
        <v>0.39583333333333331</v>
      </c>
      <c r="L26" s="21">
        <v>0.8125</v>
      </c>
      <c r="M26" s="14">
        <f t="shared" si="0"/>
        <v>0.41666666666666669</v>
      </c>
    </row>
    <row r="27" spans="1:13" x14ac:dyDescent="0.25">
      <c r="A27" t="s">
        <v>66</v>
      </c>
      <c r="B27" s="11">
        <v>44552</v>
      </c>
      <c r="C27" s="282" t="s">
        <v>115</v>
      </c>
      <c r="D27" s="282"/>
      <c r="E27" s="282"/>
      <c r="F27" s="282"/>
      <c r="G27" s="282"/>
      <c r="H27" s="282"/>
      <c r="I27" s="282"/>
      <c r="J27" s="18"/>
      <c r="K27" s="35">
        <v>0.39583333333333331</v>
      </c>
      <c r="L27" s="21">
        <v>0.8125</v>
      </c>
      <c r="M27" s="14">
        <f t="shared" si="0"/>
        <v>0.41666666666666669</v>
      </c>
    </row>
    <row r="28" spans="1:13" x14ac:dyDescent="0.25">
      <c r="A28" t="s">
        <v>67</v>
      </c>
      <c r="B28" s="11">
        <v>44553</v>
      </c>
      <c r="C28" s="336" t="s">
        <v>114</v>
      </c>
      <c r="D28" s="336"/>
      <c r="E28" s="336"/>
      <c r="F28" s="336"/>
      <c r="G28" s="336"/>
      <c r="H28" s="336"/>
      <c r="I28" s="336"/>
      <c r="J28" s="37"/>
      <c r="K28" s="35">
        <v>0.39583333333333331</v>
      </c>
      <c r="L28" s="21">
        <v>0.89583333333333337</v>
      </c>
      <c r="M28" s="14">
        <f t="shared" si="0"/>
        <v>0.5</v>
      </c>
    </row>
    <row r="29" spans="1:13" x14ac:dyDescent="0.25">
      <c r="A29" t="s">
        <v>68</v>
      </c>
      <c r="B29" s="11">
        <v>44554</v>
      </c>
      <c r="C29" s="336" t="s">
        <v>113</v>
      </c>
      <c r="D29" s="336"/>
      <c r="E29" s="336"/>
      <c r="F29" s="336"/>
      <c r="G29" s="336"/>
      <c r="H29" s="336"/>
      <c r="I29" s="336"/>
      <c r="J29" s="37"/>
      <c r="K29" s="35">
        <v>0.39583333333333331</v>
      </c>
      <c r="L29" s="21">
        <v>0.8125</v>
      </c>
      <c r="M29" s="14">
        <f t="shared" si="0"/>
        <v>0.41666666666666669</v>
      </c>
    </row>
    <row r="30" spans="1:13" x14ac:dyDescent="0.25">
      <c r="A30" s="57" t="s">
        <v>69</v>
      </c>
      <c r="B30" s="52">
        <v>44555</v>
      </c>
      <c r="C30" s="375" t="s">
        <v>69</v>
      </c>
      <c r="D30" s="375"/>
      <c r="E30" s="375"/>
      <c r="F30" s="375"/>
      <c r="G30" s="375"/>
      <c r="H30" s="375"/>
      <c r="I30" s="375"/>
      <c r="J30" s="60"/>
      <c r="K30" s="54"/>
      <c r="L30" s="55"/>
      <c r="M30" s="14">
        <f t="shared" si="0"/>
        <v>0</v>
      </c>
    </row>
    <row r="31" spans="1:13" x14ac:dyDescent="0.25">
      <c r="A31" s="57" t="s">
        <v>30</v>
      </c>
      <c r="B31" s="52">
        <v>44556</v>
      </c>
      <c r="C31" s="375" t="s">
        <v>30</v>
      </c>
      <c r="D31" s="375"/>
      <c r="E31" s="375"/>
      <c r="F31" s="375"/>
      <c r="G31" s="375"/>
      <c r="H31" s="375"/>
      <c r="I31" s="375"/>
      <c r="J31" s="60"/>
      <c r="K31" s="54"/>
      <c r="L31" s="55"/>
      <c r="M31" s="14">
        <f t="shared" si="0"/>
        <v>0</v>
      </c>
    </row>
    <row r="32" spans="1:13" x14ac:dyDescent="0.25">
      <c r="A32" t="s">
        <v>64</v>
      </c>
      <c r="B32" s="11">
        <v>44557</v>
      </c>
      <c r="C32" s="282" t="s">
        <v>118</v>
      </c>
      <c r="D32" s="282"/>
      <c r="E32" s="282"/>
      <c r="F32" s="282"/>
      <c r="G32" s="282"/>
      <c r="H32" s="282"/>
      <c r="I32" s="282"/>
      <c r="J32" s="18"/>
      <c r="K32" s="35">
        <v>0.40277777777777773</v>
      </c>
      <c r="L32" s="21">
        <v>0.83333333333333337</v>
      </c>
      <c r="M32" s="14">
        <f t="shared" si="0"/>
        <v>0.43055555555555564</v>
      </c>
    </row>
    <row r="33" spans="1:13" x14ac:dyDescent="0.25">
      <c r="A33" t="s">
        <v>65</v>
      </c>
      <c r="B33" s="11">
        <v>44558</v>
      </c>
      <c r="C33" s="282" t="s">
        <v>119</v>
      </c>
      <c r="D33" s="282"/>
      <c r="E33" s="282"/>
      <c r="F33" s="282"/>
      <c r="G33" s="282"/>
      <c r="H33" s="282"/>
      <c r="I33" s="282"/>
      <c r="J33" s="18"/>
      <c r="K33" s="35">
        <v>0.39583333333333331</v>
      </c>
      <c r="L33" s="21">
        <v>0.85416666666666663</v>
      </c>
      <c r="M33" s="14">
        <f t="shared" si="0"/>
        <v>0.45833333333333331</v>
      </c>
    </row>
    <row r="34" spans="1:13" x14ac:dyDescent="0.25">
      <c r="A34" t="s">
        <v>66</v>
      </c>
      <c r="B34" s="11">
        <v>44559</v>
      </c>
      <c r="C34" s="365" t="s">
        <v>120</v>
      </c>
      <c r="D34" s="365"/>
      <c r="E34" s="365"/>
      <c r="F34" s="365"/>
      <c r="G34" s="365"/>
      <c r="H34" s="365"/>
      <c r="I34" s="365"/>
      <c r="J34" s="59"/>
      <c r="K34" s="35">
        <v>0.39583333333333331</v>
      </c>
      <c r="L34" s="21">
        <v>0.8125</v>
      </c>
      <c r="M34" s="14">
        <f t="shared" si="0"/>
        <v>0.41666666666666669</v>
      </c>
    </row>
    <row r="35" spans="1:13" x14ac:dyDescent="0.25">
      <c r="A35" t="s">
        <v>67</v>
      </c>
      <c r="B35" s="11">
        <v>44560</v>
      </c>
      <c r="C35" s="282" t="s">
        <v>121</v>
      </c>
      <c r="D35" s="282"/>
      <c r="E35" s="282"/>
      <c r="F35" s="282"/>
      <c r="G35" s="282"/>
      <c r="H35" s="282"/>
      <c r="I35" s="282"/>
      <c r="J35" s="18"/>
      <c r="K35" s="35">
        <v>0.39583333333333331</v>
      </c>
      <c r="L35" s="21">
        <v>0.8125</v>
      </c>
      <c r="M35" s="14">
        <f t="shared" si="0"/>
        <v>0.41666666666666669</v>
      </c>
    </row>
    <row r="36" spans="1:13" x14ac:dyDescent="0.25">
      <c r="A36" t="s">
        <v>68</v>
      </c>
      <c r="B36" s="11">
        <v>44561</v>
      </c>
      <c r="C36" s="291" t="s">
        <v>122</v>
      </c>
      <c r="D36" s="292"/>
      <c r="E36" s="292"/>
      <c r="F36" s="292"/>
      <c r="G36" s="292"/>
      <c r="H36" s="292"/>
      <c r="I36" s="293"/>
      <c r="J36" s="18"/>
      <c r="K36" s="35">
        <v>0.39583333333333331</v>
      </c>
      <c r="L36" s="21">
        <v>0.8125</v>
      </c>
      <c r="M36" s="14">
        <f t="shared" si="0"/>
        <v>0.41666666666666669</v>
      </c>
    </row>
    <row r="37" spans="1:13" x14ac:dyDescent="0.25">
      <c r="B37" s="2"/>
      <c r="M37" s="7"/>
    </row>
    <row r="38" spans="1:13" x14ac:dyDescent="0.25">
      <c r="B38" s="2"/>
    </row>
  </sheetData>
  <mergeCells count="37">
    <mergeCell ref="C5:J5"/>
    <mergeCell ref="B1:M1"/>
    <mergeCell ref="C2:E2"/>
    <mergeCell ref="G2:M2"/>
    <mergeCell ref="C3:E3"/>
    <mergeCell ref="G3:M3"/>
    <mergeCell ref="C17:I17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29:I29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36:I36"/>
    <mergeCell ref="C30:I30"/>
    <mergeCell ref="C31:I31"/>
    <mergeCell ref="C32:I32"/>
    <mergeCell ref="C33:I33"/>
    <mergeCell ref="C34:I34"/>
    <mergeCell ref="C35:I35"/>
  </mergeCells>
  <phoneticPr fontId="6" type="noConversion"/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8"/>
  <sheetViews>
    <sheetView workbookViewId="0">
      <selection activeCell="B37" sqref="B37"/>
    </sheetView>
  </sheetViews>
  <sheetFormatPr defaultRowHeight="15" x14ac:dyDescent="0.25"/>
  <cols>
    <col min="2" max="2" width="15.7109375" bestFit="1" customWidth="1"/>
    <col min="6" max="6" width="11.7109375" bestFit="1" customWidth="1"/>
    <col min="9" max="9" width="19.7109375" customWidth="1"/>
    <col min="11" max="12" width="9.140625" style="23"/>
    <col min="13" max="13" width="11" bestFit="1" customWidth="1"/>
  </cols>
  <sheetData>
    <row r="1" spans="1:13" ht="18.75" x14ac:dyDescent="0.3">
      <c r="B1" s="356" t="s">
        <v>0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</row>
    <row r="2" spans="1:13" x14ac:dyDescent="0.25">
      <c r="B2" s="5" t="s">
        <v>1</v>
      </c>
      <c r="C2" s="357" t="s">
        <v>34</v>
      </c>
      <c r="D2" s="357"/>
      <c r="E2" s="357"/>
      <c r="F2" s="5" t="s">
        <v>8</v>
      </c>
      <c r="G2" s="357" t="s">
        <v>35</v>
      </c>
      <c r="H2" s="357"/>
      <c r="I2" s="357"/>
      <c r="J2" s="357"/>
      <c r="K2" s="357"/>
      <c r="L2" s="357"/>
      <c r="M2" s="357"/>
    </row>
    <row r="3" spans="1:13" x14ac:dyDescent="0.25">
      <c r="B3" s="5" t="s">
        <v>2</v>
      </c>
      <c r="C3" s="357" t="s">
        <v>36</v>
      </c>
      <c r="D3" s="357"/>
      <c r="E3" s="357"/>
      <c r="F3" s="5" t="s">
        <v>3</v>
      </c>
      <c r="G3" s="357" t="s">
        <v>13</v>
      </c>
      <c r="H3" s="357"/>
      <c r="I3" s="357"/>
      <c r="J3" s="357"/>
      <c r="K3" s="357"/>
      <c r="L3" s="357"/>
      <c r="M3" s="357"/>
    </row>
    <row r="4" spans="1:13" x14ac:dyDescent="0.25">
      <c r="B4" s="6"/>
      <c r="C4" s="6"/>
      <c r="D4" s="6"/>
      <c r="E4" s="6"/>
      <c r="F4" s="6"/>
      <c r="G4" s="6"/>
      <c r="H4" s="6"/>
      <c r="I4" s="6"/>
      <c r="J4" s="6"/>
      <c r="K4" s="33"/>
      <c r="L4" s="19"/>
      <c r="M4" s="19">
        <f>K4:K35-L4:L35</f>
        <v>0</v>
      </c>
    </row>
    <row r="5" spans="1:13" x14ac:dyDescent="0.25">
      <c r="B5" s="1" t="s">
        <v>7</v>
      </c>
      <c r="C5" s="371" t="s">
        <v>4</v>
      </c>
      <c r="D5" s="371"/>
      <c r="E5" s="371"/>
      <c r="F5" s="371"/>
      <c r="G5" s="371"/>
      <c r="H5" s="371"/>
      <c r="I5" s="371"/>
      <c r="J5" s="371"/>
      <c r="K5" s="34" t="s">
        <v>5</v>
      </c>
      <c r="L5" s="20" t="s">
        <v>6</v>
      </c>
      <c r="M5" s="1"/>
    </row>
    <row r="6" spans="1:13" ht="14.45" customHeight="1" x14ac:dyDescent="0.25">
      <c r="A6" t="s">
        <v>64</v>
      </c>
      <c r="B6" s="11">
        <v>44501</v>
      </c>
      <c r="C6" s="282" t="s">
        <v>70</v>
      </c>
      <c r="D6" s="282"/>
      <c r="E6" s="282"/>
      <c r="F6" s="282"/>
      <c r="G6" s="282"/>
      <c r="H6" s="282"/>
      <c r="I6" s="282"/>
      <c r="J6" s="12"/>
      <c r="K6" s="35">
        <v>0.3888888888888889</v>
      </c>
      <c r="L6" s="21">
        <v>0.8125</v>
      </c>
      <c r="M6" s="14">
        <f>L6-K6</f>
        <v>0.4236111111111111</v>
      </c>
    </row>
    <row r="7" spans="1:13" x14ac:dyDescent="0.25">
      <c r="A7" t="s">
        <v>65</v>
      </c>
      <c r="B7" s="11">
        <v>44502</v>
      </c>
      <c r="C7" s="282" t="s">
        <v>73</v>
      </c>
      <c r="D7" s="282"/>
      <c r="E7" s="282"/>
      <c r="F7" s="282"/>
      <c r="G7" s="282"/>
      <c r="H7" s="282"/>
      <c r="I7" s="282"/>
      <c r="J7" s="15"/>
      <c r="K7" s="35">
        <v>0.39583333333333331</v>
      </c>
      <c r="L7" s="21">
        <v>0.8125</v>
      </c>
      <c r="M7" s="14">
        <f>L7-K7</f>
        <v>0.41666666666666669</v>
      </c>
    </row>
    <row r="8" spans="1:13" x14ac:dyDescent="0.25">
      <c r="A8" t="s">
        <v>66</v>
      </c>
      <c r="B8" s="11">
        <v>44503</v>
      </c>
      <c r="C8" s="282" t="s">
        <v>74</v>
      </c>
      <c r="D8" s="282"/>
      <c r="E8" s="282"/>
      <c r="F8" s="282"/>
      <c r="G8" s="282"/>
      <c r="H8" s="282"/>
      <c r="I8" s="282"/>
      <c r="J8" s="11"/>
      <c r="K8" s="35">
        <v>0.39583333333333331</v>
      </c>
      <c r="L8" s="21">
        <v>0.8125</v>
      </c>
      <c r="M8" s="14">
        <f>L8-K8</f>
        <v>0.41666666666666669</v>
      </c>
    </row>
    <row r="9" spans="1:13" x14ac:dyDescent="0.25">
      <c r="A9" t="s">
        <v>67</v>
      </c>
      <c r="B9" s="11">
        <v>44504</v>
      </c>
      <c r="C9" s="380" t="s">
        <v>71</v>
      </c>
      <c r="D9" s="380"/>
      <c r="E9" s="380"/>
      <c r="F9" s="380"/>
      <c r="G9" s="380"/>
      <c r="H9" s="380"/>
      <c r="I9" s="380"/>
      <c r="J9" s="11"/>
      <c r="K9" s="35"/>
      <c r="L9" s="21"/>
      <c r="M9" s="14"/>
    </row>
    <row r="10" spans="1:13" x14ac:dyDescent="0.25">
      <c r="A10" t="s">
        <v>68</v>
      </c>
      <c r="B10" s="11">
        <v>44505</v>
      </c>
      <c r="C10" s="259" t="s">
        <v>72</v>
      </c>
      <c r="D10" s="259"/>
      <c r="E10" s="259"/>
      <c r="F10" s="259"/>
      <c r="G10" s="259"/>
      <c r="H10" s="259"/>
      <c r="I10" s="259"/>
      <c r="J10" s="11"/>
      <c r="K10" s="35">
        <v>0.39583333333333331</v>
      </c>
      <c r="L10" s="21">
        <v>0.8125</v>
      </c>
      <c r="M10" s="14">
        <f>L10-K10</f>
        <v>0.41666666666666669</v>
      </c>
    </row>
    <row r="11" spans="1:13" ht="15" customHeight="1" x14ac:dyDescent="0.25">
      <c r="A11" t="s">
        <v>69</v>
      </c>
      <c r="B11" s="11">
        <v>44506</v>
      </c>
      <c r="C11" s="259" t="s">
        <v>75</v>
      </c>
      <c r="D11" s="259"/>
      <c r="E11" s="259"/>
      <c r="F11" s="259"/>
      <c r="G11" s="259"/>
      <c r="H11" s="259"/>
      <c r="I11" s="259"/>
      <c r="J11" s="18"/>
      <c r="K11" s="35">
        <v>0.40277777777777773</v>
      </c>
      <c r="L11" s="21">
        <v>0.79166666666666663</v>
      </c>
      <c r="M11" s="14">
        <f>L11-K11</f>
        <v>0.3888888888888889</v>
      </c>
    </row>
    <row r="12" spans="1:13" ht="15" customHeight="1" x14ac:dyDescent="0.25">
      <c r="A12" s="57" t="s">
        <v>30</v>
      </c>
      <c r="B12" s="52">
        <v>44507</v>
      </c>
      <c r="C12" s="381"/>
      <c r="D12" s="382"/>
      <c r="E12" s="382"/>
      <c r="F12" s="382"/>
      <c r="G12" s="382"/>
      <c r="H12" s="382"/>
      <c r="I12" s="383"/>
      <c r="J12" s="53"/>
      <c r="K12" s="54"/>
      <c r="L12" s="55"/>
      <c r="M12" s="56"/>
    </row>
    <row r="13" spans="1:13" x14ac:dyDescent="0.25">
      <c r="A13" t="s">
        <v>64</v>
      </c>
      <c r="B13" s="11">
        <v>44508</v>
      </c>
      <c r="C13" s="259" t="s">
        <v>78</v>
      </c>
      <c r="D13" s="259"/>
      <c r="E13" s="259"/>
      <c r="F13" s="259"/>
      <c r="G13" s="259"/>
      <c r="H13" s="259"/>
      <c r="I13" s="259"/>
      <c r="J13" s="18"/>
      <c r="K13" s="35">
        <v>0.3888888888888889</v>
      </c>
      <c r="L13" s="21">
        <v>0.8125</v>
      </c>
      <c r="M13" s="14">
        <f t="shared" ref="M13:M18" si="0">L13-K13</f>
        <v>0.4236111111111111</v>
      </c>
    </row>
    <row r="14" spans="1:13" x14ac:dyDescent="0.25">
      <c r="A14" t="s">
        <v>65</v>
      </c>
      <c r="B14" s="11">
        <v>44509</v>
      </c>
      <c r="C14" s="259" t="s">
        <v>77</v>
      </c>
      <c r="D14" s="259"/>
      <c r="E14" s="259"/>
      <c r="F14" s="259"/>
      <c r="G14" s="259"/>
      <c r="H14" s="259"/>
      <c r="I14" s="259"/>
      <c r="J14" s="18"/>
      <c r="K14" s="35">
        <v>0.39583333333333331</v>
      </c>
      <c r="L14" s="21">
        <v>0.8125</v>
      </c>
      <c r="M14" s="14">
        <f t="shared" si="0"/>
        <v>0.41666666666666669</v>
      </c>
    </row>
    <row r="15" spans="1:13" x14ac:dyDescent="0.25">
      <c r="A15" t="s">
        <v>66</v>
      </c>
      <c r="B15" s="11">
        <v>44510</v>
      </c>
      <c r="C15" s="259" t="s">
        <v>77</v>
      </c>
      <c r="D15" s="259"/>
      <c r="E15" s="259"/>
      <c r="F15" s="259"/>
      <c r="G15" s="259"/>
      <c r="H15" s="259"/>
      <c r="I15" s="259"/>
      <c r="J15" s="18"/>
      <c r="K15" s="35">
        <v>0.3888888888888889</v>
      </c>
      <c r="L15" s="21">
        <v>0.8125</v>
      </c>
      <c r="M15" s="14">
        <f t="shared" si="0"/>
        <v>0.4236111111111111</v>
      </c>
    </row>
    <row r="16" spans="1:13" x14ac:dyDescent="0.25">
      <c r="A16" t="s">
        <v>67</v>
      </c>
      <c r="B16" s="11">
        <v>44511</v>
      </c>
      <c r="C16" s="259" t="s">
        <v>76</v>
      </c>
      <c r="D16" s="259"/>
      <c r="E16" s="259"/>
      <c r="F16" s="259"/>
      <c r="G16" s="259"/>
      <c r="H16" s="259"/>
      <c r="I16" s="259"/>
      <c r="J16" s="18"/>
      <c r="K16" s="35">
        <v>0.3923611111111111</v>
      </c>
      <c r="L16" s="21">
        <v>0.88194444444444453</v>
      </c>
      <c r="M16" s="14">
        <f t="shared" si="0"/>
        <v>0.48958333333333343</v>
      </c>
    </row>
    <row r="17" spans="1:13" x14ac:dyDescent="0.25">
      <c r="A17" t="s">
        <v>68</v>
      </c>
      <c r="B17" s="11">
        <v>44512</v>
      </c>
      <c r="C17" s="282" t="s">
        <v>79</v>
      </c>
      <c r="D17" s="282"/>
      <c r="E17" s="282"/>
      <c r="F17" s="282"/>
      <c r="G17" s="282"/>
      <c r="H17" s="282"/>
      <c r="I17" s="282"/>
      <c r="J17" s="18"/>
      <c r="K17" s="35">
        <v>0.41666666666666669</v>
      </c>
      <c r="L17" s="21">
        <v>0.8125</v>
      </c>
      <c r="M17" s="14">
        <f t="shared" si="0"/>
        <v>0.39583333333333331</v>
      </c>
    </row>
    <row r="18" spans="1:13" x14ac:dyDescent="0.25">
      <c r="A18" s="57" t="s">
        <v>69</v>
      </c>
      <c r="B18" s="52">
        <v>44513</v>
      </c>
      <c r="C18" s="376" t="s">
        <v>80</v>
      </c>
      <c r="D18" s="376"/>
      <c r="E18" s="376"/>
      <c r="F18" s="376"/>
      <c r="G18" s="376"/>
      <c r="H18" s="376"/>
      <c r="I18" s="376"/>
      <c r="J18" s="53"/>
      <c r="K18" s="54">
        <v>0.41666666666666669</v>
      </c>
      <c r="L18" s="55">
        <v>0.77083333333333337</v>
      </c>
      <c r="M18" s="56">
        <f t="shared" si="0"/>
        <v>0.35416666666666669</v>
      </c>
    </row>
    <row r="19" spans="1:13" x14ac:dyDescent="0.25">
      <c r="A19" s="57" t="s">
        <v>30</v>
      </c>
      <c r="B19" s="52">
        <v>44514</v>
      </c>
      <c r="C19" s="376"/>
      <c r="D19" s="376"/>
      <c r="E19" s="376"/>
      <c r="F19" s="376"/>
      <c r="G19" s="376"/>
      <c r="H19" s="376"/>
      <c r="I19" s="376"/>
      <c r="J19" s="53"/>
      <c r="K19" s="54"/>
      <c r="L19" s="55"/>
      <c r="M19" s="56"/>
    </row>
    <row r="20" spans="1:13" x14ac:dyDescent="0.25">
      <c r="A20" t="s">
        <v>64</v>
      </c>
      <c r="B20" s="11">
        <v>44515</v>
      </c>
      <c r="C20" s="259" t="s">
        <v>82</v>
      </c>
      <c r="D20" s="259"/>
      <c r="E20" s="259"/>
      <c r="F20" s="259"/>
      <c r="G20" s="259"/>
      <c r="H20" s="259"/>
      <c r="I20" s="259"/>
      <c r="J20" s="51"/>
      <c r="K20" s="35">
        <v>0.3888888888888889</v>
      </c>
      <c r="L20" s="21">
        <v>0.8125</v>
      </c>
      <c r="M20" s="14">
        <f t="shared" ref="M20" si="1">L20-K20</f>
        <v>0.4236111111111111</v>
      </c>
    </row>
    <row r="21" spans="1:13" x14ac:dyDescent="0.25">
      <c r="A21" t="s">
        <v>65</v>
      </c>
      <c r="B21" s="11">
        <v>44516</v>
      </c>
      <c r="C21" s="259" t="s">
        <v>82</v>
      </c>
      <c r="D21" s="259"/>
      <c r="E21" s="259"/>
      <c r="F21" s="259"/>
      <c r="G21" s="259"/>
      <c r="H21" s="259"/>
      <c r="I21" s="259"/>
      <c r="J21" s="51"/>
      <c r="K21" s="35">
        <v>0.3888888888888889</v>
      </c>
      <c r="L21" s="21">
        <v>0.77083333333333337</v>
      </c>
      <c r="M21" s="14">
        <f t="shared" ref="M21:M22" si="2">L21-K21</f>
        <v>0.38194444444444448</v>
      </c>
    </row>
    <row r="22" spans="1:13" x14ac:dyDescent="0.25">
      <c r="A22" t="s">
        <v>66</v>
      </c>
      <c r="B22" s="11">
        <v>44517</v>
      </c>
      <c r="C22" s="259" t="s">
        <v>81</v>
      </c>
      <c r="D22" s="259"/>
      <c r="E22" s="259"/>
      <c r="F22" s="259"/>
      <c r="G22" s="259"/>
      <c r="H22" s="259"/>
      <c r="I22" s="259"/>
      <c r="J22" s="51"/>
      <c r="K22" s="35">
        <v>0.3888888888888889</v>
      </c>
      <c r="L22" s="21">
        <v>0.8125</v>
      </c>
      <c r="M22" s="14">
        <f t="shared" si="2"/>
        <v>0.4236111111111111</v>
      </c>
    </row>
    <row r="23" spans="1:13" x14ac:dyDescent="0.25">
      <c r="A23" t="s">
        <v>67</v>
      </c>
      <c r="B23" s="11">
        <v>44518</v>
      </c>
      <c r="C23" s="259" t="s">
        <v>83</v>
      </c>
      <c r="D23" s="259"/>
      <c r="E23" s="259"/>
      <c r="F23" s="259"/>
      <c r="G23" s="259"/>
      <c r="H23" s="259"/>
      <c r="I23" s="259"/>
      <c r="J23" s="18"/>
      <c r="K23" s="35">
        <v>0.3888888888888889</v>
      </c>
      <c r="L23" s="21">
        <v>0.8125</v>
      </c>
      <c r="M23" s="14">
        <f t="shared" ref="M23" si="3">L23-K23</f>
        <v>0.4236111111111111</v>
      </c>
    </row>
    <row r="24" spans="1:13" x14ac:dyDescent="0.25">
      <c r="A24" t="s">
        <v>68</v>
      </c>
      <c r="B24" s="11">
        <v>44519</v>
      </c>
      <c r="C24" s="282" t="s">
        <v>84</v>
      </c>
      <c r="D24" s="282"/>
      <c r="E24" s="282"/>
      <c r="F24" s="282"/>
      <c r="G24" s="282"/>
      <c r="H24" s="282"/>
      <c r="I24" s="282"/>
      <c r="J24" s="18"/>
      <c r="K24" s="35">
        <v>0.3888888888888889</v>
      </c>
      <c r="L24" s="21">
        <v>0.8125</v>
      </c>
      <c r="M24" s="14">
        <f t="shared" ref="M24" si="4">L24-K24</f>
        <v>0.4236111111111111</v>
      </c>
    </row>
    <row r="25" spans="1:13" x14ac:dyDescent="0.25">
      <c r="A25" s="57" t="s">
        <v>69</v>
      </c>
      <c r="B25" s="52">
        <v>44520</v>
      </c>
      <c r="C25" s="378" t="s">
        <v>85</v>
      </c>
      <c r="D25" s="378"/>
      <c r="E25" s="378"/>
      <c r="F25" s="378"/>
      <c r="G25" s="378"/>
      <c r="H25" s="378"/>
      <c r="I25" s="378"/>
      <c r="J25" s="53"/>
      <c r="K25" s="54">
        <v>0.41666666666666669</v>
      </c>
      <c r="L25" s="55">
        <v>0.77083333333333337</v>
      </c>
      <c r="M25" s="56">
        <f t="shared" ref="M25" si="5">L25-K25</f>
        <v>0.35416666666666669</v>
      </c>
    </row>
    <row r="26" spans="1:13" x14ac:dyDescent="0.25">
      <c r="A26" s="57" t="s">
        <v>30</v>
      </c>
      <c r="B26" s="52">
        <v>44521</v>
      </c>
      <c r="C26" s="378"/>
      <c r="D26" s="378"/>
      <c r="E26" s="378"/>
      <c r="F26" s="378"/>
      <c r="G26" s="378"/>
      <c r="H26" s="378"/>
      <c r="I26" s="378"/>
      <c r="J26" s="53"/>
      <c r="K26" s="54"/>
      <c r="L26" s="55"/>
      <c r="M26" s="56"/>
    </row>
    <row r="27" spans="1:13" x14ac:dyDescent="0.25">
      <c r="A27" t="s">
        <v>64</v>
      </c>
      <c r="B27" s="11">
        <v>44522</v>
      </c>
      <c r="C27" s="282" t="s">
        <v>86</v>
      </c>
      <c r="D27" s="282"/>
      <c r="E27" s="282"/>
      <c r="F27" s="282"/>
      <c r="G27" s="282"/>
      <c r="H27" s="282"/>
      <c r="I27" s="282"/>
      <c r="J27" s="18"/>
      <c r="K27" s="35">
        <v>0.3888888888888889</v>
      </c>
      <c r="L27" s="21">
        <v>0.8125</v>
      </c>
      <c r="M27" s="14">
        <f t="shared" ref="M27" si="6">L27-K27</f>
        <v>0.4236111111111111</v>
      </c>
    </row>
    <row r="28" spans="1:13" x14ac:dyDescent="0.25">
      <c r="A28" t="s">
        <v>65</v>
      </c>
      <c r="B28" s="11">
        <v>44523</v>
      </c>
      <c r="C28" s="336" t="s">
        <v>77</v>
      </c>
      <c r="D28" s="336"/>
      <c r="E28" s="336"/>
      <c r="F28" s="336"/>
      <c r="G28" s="336"/>
      <c r="H28" s="336"/>
      <c r="I28" s="336"/>
      <c r="J28" s="37"/>
      <c r="K28" s="35">
        <v>0.3888888888888889</v>
      </c>
      <c r="L28" s="21">
        <v>0.83333333333333337</v>
      </c>
      <c r="M28" s="14">
        <f t="shared" ref="M28:M29" si="7">L28-K28</f>
        <v>0.44444444444444448</v>
      </c>
    </row>
    <row r="29" spans="1:13" x14ac:dyDescent="0.25">
      <c r="A29" t="s">
        <v>66</v>
      </c>
      <c r="B29" s="11">
        <v>44524</v>
      </c>
      <c r="C29" s="336" t="s">
        <v>87</v>
      </c>
      <c r="D29" s="336"/>
      <c r="E29" s="336"/>
      <c r="F29" s="336"/>
      <c r="G29" s="336"/>
      <c r="H29" s="336"/>
      <c r="I29" s="336"/>
      <c r="J29" s="37"/>
      <c r="K29" s="35">
        <v>0.3888888888888889</v>
      </c>
      <c r="L29" s="21">
        <v>0.8125</v>
      </c>
      <c r="M29" s="14">
        <f t="shared" si="7"/>
        <v>0.4236111111111111</v>
      </c>
    </row>
    <row r="30" spans="1:13" x14ac:dyDescent="0.25">
      <c r="A30" t="s">
        <v>67</v>
      </c>
      <c r="B30" s="11">
        <v>44525</v>
      </c>
      <c r="C30" s="336" t="s">
        <v>88</v>
      </c>
      <c r="D30" s="336"/>
      <c r="E30" s="336"/>
      <c r="F30" s="336"/>
      <c r="G30" s="336"/>
      <c r="H30" s="336"/>
      <c r="I30" s="336"/>
      <c r="J30" s="37"/>
      <c r="K30" s="35">
        <v>0.39583333333333331</v>
      </c>
      <c r="L30" s="21">
        <v>0.8125</v>
      </c>
      <c r="M30" s="14">
        <f t="shared" ref="M30" si="8">L30-K30</f>
        <v>0.41666666666666669</v>
      </c>
    </row>
    <row r="31" spans="1:13" x14ac:dyDescent="0.25">
      <c r="A31" t="s">
        <v>68</v>
      </c>
      <c r="B31" s="11">
        <v>44526</v>
      </c>
      <c r="C31" s="336" t="s">
        <v>89</v>
      </c>
      <c r="D31" s="336"/>
      <c r="E31" s="336"/>
      <c r="F31" s="336"/>
      <c r="G31" s="336"/>
      <c r="H31" s="336"/>
      <c r="I31" s="336"/>
      <c r="J31" s="37"/>
      <c r="K31" s="35">
        <v>0.39583333333333331</v>
      </c>
      <c r="L31" s="21">
        <v>0.8125</v>
      </c>
      <c r="M31" s="14">
        <f t="shared" ref="M31" si="9">L31-K31</f>
        <v>0.41666666666666669</v>
      </c>
    </row>
    <row r="32" spans="1:13" x14ac:dyDescent="0.25">
      <c r="A32" s="57" t="s">
        <v>69</v>
      </c>
      <c r="B32" s="52">
        <v>44527</v>
      </c>
      <c r="C32" s="378" t="s">
        <v>90</v>
      </c>
      <c r="D32" s="378"/>
      <c r="E32" s="378"/>
      <c r="F32" s="378"/>
      <c r="G32" s="378"/>
      <c r="H32" s="378"/>
      <c r="I32" s="378"/>
      <c r="J32" s="53"/>
      <c r="K32" s="54">
        <v>0.39583333333333331</v>
      </c>
      <c r="L32" s="55">
        <v>0.8125</v>
      </c>
      <c r="M32" s="56">
        <f t="shared" ref="M32" si="10">L32-K32</f>
        <v>0.41666666666666669</v>
      </c>
    </row>
    <row r="33" spans="1:13" x14ac:dyDescent="0.25">
      <c r="A33" s="57" t="s">
        <v>30</v>
      </c>
      <c r="B33" s="52">
        <v>44528</v>
      </c>
      <c r="C33" s="378" t="s">
        <v>93</v>
      </c>
      <c r="D33" s="378"/>
      <c r="E33" s="378"/>
      <c r="F33" s="378"/>
      <c r="G33" s="378"/>
      <c r="H33" s="378"/>
      <c r="I33" s="378"/>
      <c r="J33" s="53"/>
      <c r="K33" s="55" t="s">
        <v>91</v>
      </c>
      <c r="L33" s="55" t="s">
        <v>92</v>
      </c>
      <c r="M33" s="56">
        <v>0.4375</v>
      </c>
    </row>
    <row r="34" spans="1:13" x14ac:dyDescent="0.25">
      <c r="A34" t="s">
        <v>64</v>
      </c>
      <c r="B34" s="58">
        <v>44529</v>
      </c>
      <c r="C34" s="365" t="s">
        <v>94</v>
      </c>
      <c r="D34" s="365"/>
      <c r="E34" s="365"/>
      <c r="F34" s="365"/>
      <c r="G34" s="365"/>
      <c r="H34" s="365"/>
      <c r="I34" s="365"/>
      <c r="J34" s="59"/>
      <c r="K34" s="35">
        <v>0.39583333333333331</v>
      </c>
      <c r="L34" s="21">
        <v>0.83333333333333337</v>
      </c>
      <c r="M34" s="14">
        <f t="shared" ref="M34" si="11">L34-K34</f>
        <v>0.43750000000000006</v>
      </c>
    </row>
    <row r="35" spans="1:13" x14ac:dyDescent="0.25">
      <c r="A35" s="18" t="s">
        <v>65</v>
      </c>
      <c r="B35" s="11">
        <v>44530</v>
      </c>
      <c r="C35" s="282" t="s">
        <v>95</v>
      </c>
      <c r="D35" s="282"/>
      <c r="E35" s="282"/>
      <c r="F35" s="282"/>
      <c r="G35" s="282"/>
      <c r="H35" s="282"/>
      <c r="I35" s="282"/>
      <c r="J35" s="18"/>
      <c r="K35" s="35">
        <v>0.39583333333333331</v>
      </c>
      <c r="L35" s="21">
        <v>0.8125</v>
      </c>
      <c r="M35" s="14">
        <f t="shared" ref="M35" si="12">L35-K35</f>
        <v>0.41666666666666669</v>
      </c>
    </row>
    <row r="36" spans="1:13" x14ac:dyDescent="0.25">
      <c r="B36" s="2"/>
    </row>
    <row r="37" spans="1:13" x14ac:dyDescent="0.25">
      <c r="B37" s="2"/>
    </row>
    <row r="38" spans="1:13" x14ac:dyDescent="0.25">
      <c r="B38" s="2"/>
    </row>
  </sheetData>
  <mergeCells count="36">
    <mergeCell ref="C32:I32"/>
    <mergeCell ref="C33:I33"/>
    <mergeCell ref="C34:I34"/>
    <mergeCell ref="C35:I35"/>
    <mergeCell ref="C20:I20"/>
    <mergeCell ref="C22:I22"/>
    <mergeCell ref="C26:I26"/>
    <mergeCell ref="C27:I27"/>
    <mergeCell ref="C28:I28"/>
    <mergeCell ref="C29:I29"/>
    <mergeCell ref="C30:I30"/>
    <mergeCell ref="C31:I31"/>
    <mergeCell ref="C21:I21"/>
    <mergeCell ref="C18:I18"/>
    <mergeCell ref="C19:I19"/>
    <mergeCell ref="C23:I23"/>
    <mergeCell ref="C24:I24"/>
    <mergeCell ref="C25:I25"/>
    <mergeCell ref="C17:I17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5:J5"/>
    <mergeCell ref="B1:M1"/>
    <mergeCell ref="C2:E2"/>
    <mergeCell ref="G2:M2"/>
    <mergeCell ref="C3:E3"/>
    <mergeCell ref="G3:M3"/>
  </mergeCells>
  <phoneticPr fontId="6" type="noConversion"/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6"/>
  <sheetViews>
    <sheetView workbookViewId="0">
      <selection activeCell="B37" sqref="B37"/>
    </sheetView>
  </sheetViews>
  <sheetFormatPr defaultRowHeight="15" x14ac:dyDescent="0.25"/>
  <cols>
    <col min="1" max="1" width="15.7109375" bestFit="1" customWidth="1"/>
    <col min="5" max="5" width="11.7109375" bestFit="1" customWidth="1"/>
    <col min="8" max="8" width="19.7109375" customWidth="1"/>
    <col min="10" max="11" width="9.140625" style="23"/>
    <col min="12" max="12" width="11" bestFit="1" customWidth="1"/>
  </cols>
  <sheetData>
    <row r="1" spans="1:12" ht="18.75" x14ac:dyDescent="0.3">
      <c r="A1" s="356" t="s">
        <v>0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</row>
    <row r="2" spans="1:12" x14ac:dyDescent="0.25">
      <c r="A2" s="5" t="s">
        <v>1</v>
      </c>
      <c r="B2" s="357" t="s">
        <v>34</v>
      </c>
      <c r="C2" s="357"/>
      <c r="D2" s="357"/>
      <c r="E2" s="5" t="s">
        <v>8</v>
      </c>
      <c r="F2" s="357" t="s">
        <v>35</v>
      </c>
      <c r="G2" s="357"/>
      <c r="H2" s="357"/>
      <c r="I2" s="357"/>
      <c r="J2" s="357"/>
      <c r="K2" s="357"/>
      <c r="L2" s="357"/>
    </row>
    <row r="3" spans="1:12" x14ac:dyDescent="0.25">
      <c r="A3" s="5" t="s">
        <v>2</v>
      </c>
      <c r="B3" s="357" t="s">
        <v>36</v>
      </c>
      <c r="C3" s="357"/>
      <c r="D3" s="357"/>
      <c r="E3" s="5" t="s">
        <v>3</v>
      </c>
      <c r="F3" s="357" t="s">
        <v>13</v>
      </c>
      <c r="G3" s="357"/>
      <c r="H3" s="357"/>
      <c r="I3" s="357"/>
      <c r="J3" s="357"/>
      <c r="K3" s="357"/>
      <c r="L3" s="357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33"/>
      <c r="K4" s="19"/>
      <c r="L4" s="19">
        <f>J6-K6</f>
        <v>-0.20833333333333331</v>
      </c>
    </row>
    <row r="5" spans="1:12" x14ac:dyDescent="0.25">
      <c r="A5" s="1" t="s">
        <v>7</v>
      </c>
      <c r="B5" s="371" t="s">
        <v>4</v>
      </c>
      <c r="C5" s="371"/>
      <c r="D5" s="371"/>
      <c r="E5" s="371"/>
      <c r="F5" s="371"/>
      <c r="G5" s="371"/>
      <c r="H5" s="371"/>
      <c r="I5" s="371"/>
      <c r="J5" s="34" t="s">
        <v>5</v>
      </c>
      <c r="K5" s="20" t="s">
        <v>6</v>
      </c>
      <c r="L5" s="1" t="s">
        <v>9</v>
      </c>
    </row>
    <row r="6" spans="1:12" ht="14.45" customHeight="1" x14ac:dyDescent="0.25">
      <c r="A6" s="11">
        <v>44470</v>
      </c>
      <c r="B6" s="282" t="s">
        <v>43</v>
      </c>
      <c r="C6" s="282"/>
      <c r="D6" s="282"/>
      <c r="E6" s="282"/>
      <c r="F6" s="282"/>
      <c r="G6" s="282"/>
      <c r="H6" s="282"/>
      <c r="I6" s="12"/>
      <c r="J6" s="35">
        <v>0.39583333333333331</v>
      </c>
      <c r="K6" s="21">
        <v>0.60416666666666663</v>
      </c>
      <c r="L6" s="14">
        <f>K6-J6</f>
        <v>0.20833333333333331</v>
      </c>
    </row>
    <row r="7" spans="1:12" x14ac:dyDescent="0.25">
      <c r="A7" s="38">
        <v>44471</v>
      </c>
      <c r="B7" s="283"/>
      <c r="C7" s="283"/>
      <c r="D7" s="283"/>
      <c r="E7" s="283"/>
      <c r="F7" s="283"/>
      <c r="G7" s="283"/>
      <c r="H7" s="283"/>
      <c r="I7" s="39"/>
      <c r="J7" s="40"/>
      <c r="K7" s="41"/>
      <c r="L7" s="14"/>
    </row>
    <row r="8" spans="1:12" x14ac:dyDescent="0.25">
      <c r="A8" s="38">
        <v>44472</v>
      </c>
      <c r="B8" s="283"/>
      <c r="C8" s="283"/>
      <c r="D8" s="283"/>
      <c r="E8" s="283"/>
      <c r="F8" s="283"/>
      <c r="G8" s="283"/>
      <c r="H8" s="283"/>
      <c r="I8" s="38"/>
      <c r="J8" s="40"/>
      <c r="K8" s="41"/>
      <c r="L8" s="14"/>
    </row>
    <row r="9" spans="1:12" x14ac:dyDescent="0.25">
      <c r="A9" s="11">
        <v>44473</v>
      </c>
      <c r="B9" s="282" t="s">
        <v>43</v>
      </c>
      <c r="C9" s="282"/>
      <c r="D9" s="282"/>
      <c r="E9" s="282"/>
      <c r="F9" s="282"/>
      <c r="G9" s="282"/>
      <c r="H9" s="282"/>
      <c r="I9" s="11"/>
      <c r="J9" s="35">
        <v>0.39583333333333298</v>
      </c>
      <c r="K9" s="21">
        <v>0.8125</v>
      </c>
      <c r="L9" s="14">
        <f t="shared" ref="L9:L23" si="0">K9-J9</f>
        <v>0.41666666666666702</v>
      </c>
    </row>
    <row r="10" spans="1:12" x14ac:dyDescent="0.25">
      <c r="A10" s="11">
        <v>44474</v>
      </c>
      <c r="B10" s="259" t="s">
        <v>44</v>
      </c>
      <c r="C10" s="259"/>
      <c r="D10" s="259"/>
      <c r="E10" s="259"/>
      <c r="F10" s="259"/>
      <c r="G10" s="259"/>
      <c r="H10" s="259"/>
      <c r="I10" s="11"/>
      <c r="J10" s="35">
        <v>0.39583333333333298</v>
      </c>
      <c r="K10" s="21">
        <v>0.8125</v>
      </c>
      <c r="L10" s="14">
        <f t="shared" si="0"/>
        <v>0.41666666666666702</v>
      </c>
    </row>
    <row r="11" spans="1:12" ht="15" customHeight="1" x14ac:dyDescent="0.25">
      <c r="A11" s="11">
        <v>44475</v>
      </c>
      <c r="B11" s="259" t="s">
        <v>45</v>
      </c>
      <c r="C11" s="259"/>
      <c r="D11" s="259"/>
      <c r="E11" s="259"/>
      <c r="F11" s="259"/>
      <c r="G11" s="259"/>
      <c r="H11" s="259"/>
      <c r="I11" s="18"/>
      <c r="J11" s="35">
        <v>0.39583333333333298</v>
      </c>
      <c r="K11" s="21">
        <v>0.8125</v>
      </c>
      <c r="L11" s="14">
        <f t="shared" si="0"/>
        <v>0.41666666666666702</v>
      </c>
    </row>
    <row r="12" spans="1:12" ht="15" customHeight="1" x14ac:dyDescent="0.25">
      <c r="A12" s="11">
        <v>44476</v>
      </c>
      <c r="B12" s="312" t="s">
        <v>46</v>
      </c>
      <c r="C12" s="313"/>
      <c r="D12" s="313"/>
      <c r="E12" s="313"/>
      <c r="F12" s="313"/>
      <c r="G12" s="313"/>
      <c r="H12" s="314"/>
      <c r="I12" s="18"/>
      <c r="J12" s="35">
        <v>0.39583333333333298</v>
      </c>
      <c r="K12" s="21">
        <v>0.8125</v>
      </c>
      <c r="L12" s="14">
        <f t="shared" si="0"/>
        <v>0.41666666666666702</v>
      </c>
    </row>
    <row r="13" spans="1:12" x14ac:dyDescent="0.25">
      <c r="A13" s="11">
        <v>44477</v>
      </c>
      <c r="B13" s="259" t="s">
        <v>62</v>
      </c>
      <c r="C13" s="259"/>
      <c r="D13" s="259"/>
      <c r="E13" s="259"/>
      <c r="F13" s="259"/>
      <c r="G13" s="259"/>
      <c r="H13" s="259"/>
      <c r="I13" s="18"/>
      <c r="J13" s="35">
        <v>0.39583333333333298</v>
      </c>
      <c r="K13" s="21">
        <v>0.8125</v>
      </c>
      <c r="L13" s="14">
        <f t="shared" si="0"/>
        <v>0.41666666666666702</v>
      </c>
    </row>
    <row r="14" spans="1:12" x14ac:dyDescent="0.25">
      <c r="A14" s="38">
        <v>44478</v>
      </c>
      <c r="B14" s="284" t="s">
        <v>47</v>
      </c>
      <c r="C14" s="284"/>
      <c r="D14" s="284"/>
      <c r="E14" s="284"/>
      <c r="F14" s="284"/>
      <c r="G14" s="284"/>
      <c r="H14" s="284"/>
      <c r="I14" s="42"/>
      <c r="J14" s="40">
        <v>0.39583333333333298</v>
      </c>
      <c r="K14" s="41">
        <v>0.8125</v>
      </c>
      <c r="L14" s="14">
        <f t="shared" si="0"/>
        <v>0.41666666666666702</v>
      </c>
    </row>
    <row r="15" spans="1:12" x14ac:dyDescent="0.25">
      <c r="A15" s="38">
        <v>44479</v>
      </c>
      <c r="B15" s="284"/>
      <c r="C15" s="284"/>
      <c r="D15" s="284"/>
      <c r="E15" s="284"/>
      <c r="F15" s="284"/>
      <c r="G15" s="284"/>
      <c r="H15" s="284"/>
      <c r="I15" s="42"/>
      <c r="J15" s="40"/>
      <c r="K15" s="41"/>
      <c r="L15" s="14"/>
    </row>
    <row r="16" spans="1:12" x14ac:dyDescent="0.25">
      <c r="A16" s="11">
        <v>44480</v>
      </c>
      <c r="B16" s="259" t="s">
        <v>48</v>
      </c>
      <c r="C16" s="259"/>
      <c r="D16" s="259"/>
      <c r="E16" s="259"/>
      <c r="F16" s="259"/>
      <c r="G16" s="259"/>
      <c r="H16" s="259"/>
      <c r="I16" s="18"/>
      <c r="J16" s="35">
        <v>0.39583333333333298</v>
      </c>
      <c r="K16" s="21">
        <v>0.79166666666666663</v>
      </c>
      <c r="L16" s="14">
        <f t="shared" si="0"/>
        <v>0.39583333333333365</v>
      </c>
    </row>
    <row r="17" spans="1:12" x14ac:dyDescent="0.25">
      <c r="A17" s="11">
        <v>44481</v>
      </c>
      <c r="B17" s="282" t="s">
        <v>63</v>
      </c>
      <c r="C17" s="282"/>
      <c r="D17" s="282"/>
      <c r="E17" s="282"/>
      <c r="F17" s="282"/>
      <c r="G17" s="282"/>
      <c r="H17" s="282"/>
      <c r="I17" s="18"/>
      <c r="J17" s="35">
        <v>0.39583333333333298</v>
      </c>
      <c r="K17" s="21">
        <v>0.8125</v>
      </c>
      <c r="L17" s="14">
        <f t="shared" si="0"/>
        <v>0.41666666666666702</v>
      </c>
    </row>
    <row r="18" spans="1:12" x14ac:dyDescent="0.25">
      <c r="A18" s="11">
        <v>44482</v>
      </c>
      <c r="B18" s="259" t="s">
        <v>49</v>
      </c>
      <c r="C18" s="259"/>
      <c r="D18" s="259"/>
      <c r="E18" s="259"/>
      <c r="F18" s="259"/>
      <c r="G18" s="259"/>
      <c r="H18" s="259"/>
      <c r="I18" s="18"/>
      <c r="J18" s="35">
        <v>0.39583333333333298</v>
      </c>
      <c r="K18" s="21">
        <v>0.72916666666666663</v>
      </c>
      <c r="L18" s="14">
        <f t="shared" si="0"/>
        <v>0.33333333333333365</v>
      </c>
    </row>
    <row r="19" spans="1:12" x14ac:dyDescent="0.25">
      <c r="A19" s="11">
        <v>44483</v>
      </c>
      <c r="B19" s="259" t="s">
        <v>61</v>
      </c>
      <c r="C19" s="259"/>
      <c r="D19" s="259"/>
      <c r="E19" s="259"/>
      <c r="F19" s="259"/>
      <c r="G19" s="259"/>
      <c r="H19" s="259"/>
      <c r="I19" s="18"/>
      <c r="J19" s="35">
        <v>0.39583333333333298</v>
      </c>
      <c r="K19" s="21">
        <v>0.77083333333333337</v>
      </c>
      <c r="L19" s="14">
        <f t="shared" si="0"/>
        <v>0.37500000000000039</v>
      </c>
    </row>
    <row r="20" spans="1:12" x14ac:dyDescent="0.25">
      <c r="A20" s="50">
        <v>44484</v>
      </c>
      <c r="B20" s="384" t="s">
        <v>55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6"/>
    </row>
    <row r="21" spans="1:12" x14ac:dyDescent="0.25">
      <c r="A21" s="50">
        <v>44485</v>
      </c>
      <c r="B21" s="387"/>
      <c r="C21" s="388"/>
      <c r="D21" s="388"/>
      <c r="E21" s="388"/>
      <c r="F21" s="388"/>
      <c r="G21" s="388"/>
      <c r="H21" s="388"/>
      <c r="I21" s="388"/>
      <c r="J21" s="388"/>
      <c r="K21" s="388"/>
      <c r="L21" s="389"/>
    </row>
    <row r="22" spans="1:12" x14ac:dyDescent="0.25">
      <c r="A22" s="50">
        <v>44486</v>
      </c>
      <c r="B22" s="390"/>
      <c r="C22" s="391"/>
      <c r="D22" s="391"/>
      <c r="E22" s="391"/>
      <c r="F22" s="391"/>
      <c r="G22" s="391"/>
      <c r="H22" s="391"/>
      <c r="I22" s="391"/>
      <c r="J22" s="391"/>
      <c r="K22" s="391"/>
      <c r="L22" s="392"/>
    </row>
    <row r="23" spans="1:12" x14ac:dyDescent="0.25">
      <c r="A23" s="11">
        <v>44487</v>
      </c>
      <c r="B23" s="259" t="s">
        <v>50</v>
      </c>
      <c r="C23" s="259"/>
      <c r="D23" s="259"/>
      <c r="E23" s="259"/>
      <c r="F23" s="259"/>
      <c r="G23" s="259"/>
      <c r="H23" s="259"/>
      <c r="I23" s="18"/>
      <c r="J23" s="35">
        <v>0.39583333333333331</v>
      </c>
      <c r="K23" s="21">
        <v>0.8125</v>
      </c>
      <c r="L23" s="14">
        <f t="shared" si="0"/>
        <v>0.41666666666666669</v>
      </c>
    </row>
    <row r="24" spans="1:12" x14ac:dyDescent="0.25">
      <c r="A24" s="11">
        <v>44488</v>
      </c>
      <c r="B24" s="282" t="s">
        <v>51</v>
      </c>
      <c r="C24" s="282"/>
      <c r="D24" s="282"/>
      <c r="E24" s="282"/>
      <c r="F24" s="282"/>
      <c r="G24" s="282"/>
      <c r="H24" s="282"/>
      <c r="I24" s="18"/>
      <c r="J24" s="35">
        <v>0.39583333333333298</v>
      </c>
      <c r="K24" s="21">
        <v>0.8125</v>
      </c>
      <c r="L24" s="14">
        <f>K24-J24</f>
        <v>0.41666666666666702</v>
      </c>
    </row>
    <row r="25" spans="1:12" x14ac:dyDescent="0.25">
      <c r="A25" s="11">
        <v>44489</v>
      </c>
      <c r="B25" s="282" t="s">
        <v>52</v>
      </c>
      <c r="C25" s="282"/>
      <c r="D25" s="282"/>
      <c r="E25" s="282"/>
      <c r="F25" s="282"/>
      <c r="G25" s="282"/>
      <c r="H25" s="282"/>
      <c r="I25" s="18"/>
      <c r="J25" s="35">
        <v>0.39583333333333298</v>
      </c>
      <c r="K25" s="21">
        <v>0.8125</v>
      </c>
      <c r="L25" s="14">
        <f>K25-J25</f>
        <v>0.41666666666666702</v>
      </c>
    </row>
    <row r="26" spans="1:12" x14ac:dyDescent="0.25">
      <c r="A26" s="11">
        <v>44490</v>
      </c>
      <c r="B26" s="282" t="s">
        <v>53</v>
      </c>
      <c r="C26" s="282"/>
      <c r="D26" s="282"/>
      <c r="E26" s="282"/>
      <c r="F26" s="282"/>
      <c r="G26" s="282"/>
      <c r="H26" s="282"/>
      <c r="I26" s="18"/>
      <c r="J26" s="35">
        <v>0.38541666666666669</v>
      </c>
      <c r="K26" s="21">
        <v>0.8125</v>
      </c>
      <c r="L26" s="14">
        <f>K26-J26</f>
        <v>0.42708333333333331</v>
      </c>
    </row>
    <row r="27" spans="1:12" x14ac:dyDescent="0.25">
      <c r="A27" s="11">
        <v>44491</v>
      </c>
      <c r="B27" s="282" t="s">
        <v>54</v>
      </c>
      <c r="C27" s="282"/>
      <c r="D27" s="282"/>
      <c r="E27" s="282"/>
      <c r="F27" s="282"/>
      <c r="G27" s="282"/>
      <c r="H27" s="282"/>
      <c r="I27" s="18"/>
      <c r="J27" s="22">
        <v>0.39583333333333331</v>
      </c>
      <c r="K27" s="21">
        <v>0.8125</v>
      </c>
      <c r="L27" s="14">
        <f>K27-J27</f>
        <v>0.41666666666666669</v>
      </c>
    </row>
    <row r="28" spans="1:12" x14ac:dyDescent="0.25">
      <c r="A28" s="43">
        <v>44492</v>
      </c>
      <c r="B28" s="329"/>
      <c r="C28" s="329"/>
      <c r="D28" s="329"/>
      <c r="E28" s="329"/>
      <c r="F28" s="329"/>
      <c r="G28" s="329"/>
      <c r="H28" s="329"/>
      <c r="I28" s="44"/>
      <c r="J28" s="45"/>
      <c r="K28" s="46"/>
      <c r="L28" s="47"/>
    </row>
    <row r="29" spans="1:12" x14ac:dyDescent="0.25">
      <c r="A29" s="43">
        <v>44493</v>
      </c>
      <c r="B29" s="329"/>
      <c r="C29" s="329"/>
      <c r="D29" s="329"/>
      <c r="E29" s="329"/>
      <c r="F29" s="329"/>
      <c r="G29" s="329"/>
      <c r="H29" s="329"/>
      <c r="I29" s="44"/>
      <c r="J29" s="45"/>
      <c r="K29" s="46"/>
      <c r="L29" s="47"/>
    </row>
    <row r="30" spans="1:12" x14ac:dyDescent="0.25">
      <c r="A30" s="11">
        <v>44494</v>
      </c>
      <c r="B30" s="336" t="s">
        <v>57</v>
      </c>
      <c r="C30" s="336"/>
      <c r="D30" s="336"/>
      <c r="E30" s="336"/>
      <c r="F30" s="336"/>
      <c r="G30" s="336"/>
      <c r="H30" s="336"/>
      <c r="I30" s="37"/>
      <c r="J30" s="22">
        <v>0.39583333333333331</v>
      </c>
      <c r="K30" s="21">
        <v>0.8125</v>
      </c>
      <c r="L30" s="14">
        <f>K30-J30</f>
        <v>0.41666666666666669</v>
      </c>
    </row>
    <row r="31" spans="1:12" x14ac:dyDescent="0.25">
      <c r="A31" s="11">
        <v>44495</v>
      </c>
      <c r="B31" s="336" t="s">
        <v>60</v>
      </c>
      <c r="C31" s="336"/>
      <c r="D31" s="336"/>
      <c r="E31" s="336"/>
      <c r="F31" s="336"/>
      <c r="G31" s="336"/>
      <c r="H31" s="336"/>
      <c r="I31" s="37"/>
      <c r="J31" s="35">
        <v>0.39583333333333331</v>
      </c>
      <c r="K31" s="21">
        <v>0.8125</v>
      </c>
      <c r="L31" s="14">
        <f>K31-J31</f>
        <v>0.41666666666666669</v>
      </c>
    </row>
    <row r="32" spans="1:12" x14ac:dyDescent="0.25">
      <c r="A32" s="11">
        <v>44496</v>
      </c>
      <c r="B32" s="282" t="s">
        <v>58</v>
      </c>
      <c r="C32" s="282"/>
      <c r="D32" s="282"/>
      <c r="E32" s="282"/>
      <c r="F32" s="282"/>
      <c r="G32" s="282"/>
      <c r="H32" s="282"/>
      <c r="I32" s="18"/>
      <c r="J32" s="35">
        <v>0.38541666666666669</v>
      </c>
      <c r="K32" s="21">
        <v>0.8125</v>
      </c>
      <c r="L32" s="14">
        <f>K32-J32</f>
        <v>0.42708333333333331</v>
      </c>
    </row>
    <row r="33" spans="1:12" x14ac:dyDescent="0.25">
      <c r="A33" s="11">
        <v>44497</v>
      </c>
      <c r="B33" s="282" t="s">
        <v>56</v>
      </c>
      <c r="C33" s="282"/>
      <c r="D33" s="282"/>
      <c r="E33" s="282"/>
      <c r="F33" s="282"/>
      <c r="G33" s="282"/>
      <c r="H33" s="282"/>
      <c r="I33" s="18"/>
      <c r="J33" s="22">
        <v>0.39583333333333331</v>
      </c>
      <c r="K33" s="21">
        <v>0.8125</v>
      </c>
      <c r="L33" s="14">
        <f>K33-J33</f>
        <v>0.41666666666666669</v>
      </c>
    </row>
    <row r="34" spans="1:12" x14ac:dyDescent="0.25">
      <c r="A34" s="11">
        <v>44498</v>
      </c>
      <c r="B34" s="282" t="s">
        <v>59</v>
      </c>
      <c r="C34" s="282"/>
      <c r="D34" s="282"/>
      <c r="E34" s="282"/>
      <c r="F34" s="282"/>
      <c r="G34" s="282"/>
      <c r="H34" s="282"/>
      <c r="I34" s="18"/>
      <c r="J34" s="22">
        <v>0.38541666666666669</v>
      </c>
      <c r="K34" s="21">
        <v>0.8125</v>
      </c>
      <c r="L34" s="14">
        <f>K34-J34</f>
        <v>0.42708333333333331</v>
      </c>
    </row>
    <row r="35" spans="1:12" x14ac:dyDescent="0.25">
      <c r="A35" s="38">
        <v>44499</v>
      </c>
      <c r="B35" s="283"/>
      <c r="C35" s="283"/>
      <c r="D35" s="283"/>
      <c r="E35" s="283"/>
      <c r="F35" s="283"/>
      <c r="G35" s="283"/>
      <c r="H35" s="283"/>
      <c r="I35" s="42"/>
      <c r="J35" s="48"/>
      <c r="K35" s="41"/>
      <c r="L35" s="49"/>
    </row>
    <row r="36" spans="1:12" x14ac:dyDescent="0.25">
      <c r="A36" s="38">
        <v>44500</v>
      </c>
      <c r="B36" s="288"/>
      <c r="C36" s="289"/>
      <c r="D36" s="289"/>
      <c r="E36" s="289"/>
      <c r="F36" s="289"/>
      <c r="G36" s="289"/>
      <c r="H36" s="290"/>
      <c r="I36" s="42"/>
      <c r="J36" s="48"/>
      <c r="K36" s="48"/>
      <c r="L36" s="42"/>
    </row>
  </sheetData>
  <mergeCells count="35">
    <mergeCell ref="B12:H12"/>
    <mergeCell ref="B13:H13"/>
    <mergeCell ref="B14:H14"/>
    <mergeCell ref="B15:H15"/>
    <mergeCell ref="B6:H6"/>
    <mergeCell ref="B7:H7"/>
    <mergeCell ref="B8:H8"/>
    <mergeCell ref="B9:H9"/>
    <mergeCell ref="B11:H11"/>
    <mergeCell ref="B10:H10"/>
    <mergeCell ref="B5:I5"/>
    <mergeCell ref="A1:L1"/>
    <mergeCell ref="B2:D2"/>
    <mergeCell ref="F2:L2"/>
    <mergeCell ref="B3:D3"/>
    <mergeCell ref="F3:L3"/>
    <mergeCell ref="B36:H36"/>
    <mergeCell ref="B30:H30"/>
    <mergeCell ref="B31:H31"/>
    <mergeCell ref="B32:H32"/>
    <mergeCell ref="B33:H33"/>
    <mergeCell ref="B34:H34"/>
    <mergeCell ref="B35:H35"/>
    <mergeCell ref="B29:H29"/>
    <mergeCell ref="B25:H25"/>
    <mergeCell ref="B26:H26"/>
    <mergeCell ref="B27:H27"/>
    <mergeCell ref="B28:H28"/>
    <mergeCell ref="B23:H23"/>
    <mergeCell ref="B24:H24"/>
    <mergeCell ref="B16:H16"/>
    <mergeCell ref="B17:H17"/>
    <mergeCell ref="B18:H18"/>
    <mergeCell ref="B19:H19"/>
    <mergeCell ref="B20:L2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6"/>
  <sheetViews>
    <sheetView workbookViewId="0">
      <selection activeCell="B37" sqref="B37"/>
    </sheetView>
  </sheetViews>
  <sheetFormatPr defaultRowHeight="15" x14ac:dyDescent="0.25"/>
  <cols>
    <col min="1" max="1" width="15.7109375" bestFit="1" customWidth="1"/>
    <col min="5" max="5" width="11.7109375" bestFit="1" customWidth="1"/>
    <col min="10" max="11" width="8.85546875" style="23"/>
    <col min="12" max="12" width="11" bestFit="1" customWidth="1"/>
  </cols>
  <sheetData>
    <row r="1" spans="1:12" ht="18.75" x14ac:dyDescent="0.3">
      <c r="A1" s="356" t="s">
        <v>0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</row>
    <row r="2" spans="1:12" x14ac:dyDescent="0.25">
      <c r="A2" s="5" t="s">
        <v>1</v>
      </c>
      <c r="B2" s="357" t="s">
        <v>34</v>
      </c>
      <c r="C2" s="357"/>
      <c r="D2" s="357"/>
      <c r="E2" s="5" t="s">
        <v>8</v>
      </c>
      <c r="F2" s="357" t="s">
        <v>35</v>
      </c>
      <c r="G2" s="357"/>
      <c r="H2" s="357"/>
      <c r="I2" s="357"/>
      <c r="J2" s="357"/>
      <c r="K2" s="357"/>
      <c r="L2" s="357"/>
    </row>
    <row r="3" spans="1:12" x14ac:dyDescent="0.25">
      <c r="A3" s="5" t="s">
        <v>2</v>
      </c>
      <c r="B3" s="357" t="s">
        <v>36</v>
      </c>
      <c r="C3" s="357"/>
      <c r="D3" s="357"/>
      <c r="E3" s="5" t="s">
        <v>3</v>
      </c>
      <c r="F3" s="357" t="s">
        <v>13</v>
      </c>
      <c r="G3" s="357"/>
      <c r="H3" s="357"/>
      <c r="I3" s="357"/>
      <c r="J3" s="357"/>
      <c r="K3" s="357"/>
      <c r="L3" s="357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33"/>
      <c r="K4" s="19"/>
      <c r="L4" s="6"/>
    </row>
    <row r="5" spans="1:12" x14ac:dyDescent="0.25">
      <c r="A5" s="1" t="s">
        <v>7</v>
      </c>
      <c r="B5" s="371" t="s">
        <v>4</v>
      </c>
      <c r="C5" s="371"/>
      <c r="D5" s="371"/>
      <c r="E5" s="371"/>
      <c r="F5" s="371"/>
      <c r="G5" s="371"/>
      <c r="H5" s="371"/>
      <c r="I5" s="371"/>
      <c r="J5" s="34" t="s">
        <v>5</v>
      </c>
      <c r="K5" s="20" t="s">
        <v>6</v>
      </c>
      <c r="L5" s="1" t="s">
        <v>9</v>
      </c>
    </row>
    <row r="6" spans="1:12" ht="14.45" customHeight="1" x14ac:dyDescent="0.25">
      <c r="A6" s="11">
        <v>44440</v>
      </c>
      <c r="B6" s="282" t="s">
        <v>19</v>
      </c>
      <c r="C6" s="282"/>
      <c r="D6" s="282"/>
      <c r="E6" s="282"/>
      <c r="F6" s="282"/>
      <c r="G6" s="282"/>
      <c r="H6" s="282"/>
      <c r="I6" s="12"/>
      <c r="J6" s="35">
        <v>0.39583333333333331</v>
      </c>
      <c r="K6" s="21">
        <v>0.8125</v>
      </c>
      <c r="L6" s="14">
        <f>K6-J6</f>
        <v>0.41666666666666669</v>
      </c>
    </row>
    <row r="7" spans="1:12" x14ac:dyDescent="0.25">
      <c r="A7" s="11">
        <v>44441</v>
      </c>
      <c r="B7" s="282" t="s">
        <v>19</v>
      </c>
      <c r="C7" s="282"/>
      <c r="D7" s="282"/>
      <c r="E7" s="282"/>
      <c r="F7" s="282"/>
      <c r="G7" s="282"/>
      <c r="H7" s="282"/>
      <c r="I7" s="15"/>
      <c r="J7" s="35">
        <v>0.39583333333333331</v>
      </c>
      <c r="K7" s="21">
        <v>0.8125</v>
      </c>
      <c r="L7" s="14">
        <f>K7-J7</f>
        <v>0.41666666666666669</v>
      </c>
    </row>
    <row r="8" spans="1:12" x14ac:dyDescent="0.25">
      <c r="A8" s="11">
        <v>44442</v>
      </c>
      <c r="B8" s="282" t="s">
        <v>20</v>
      </c>
      <c r="C8" s="282"/>
      <c r="D8" s="282"/>
      <c r="E8" s="282"/>
      <c r="F8" s="282"/>
      <c r="G8" s="282"/>
      <c r="H8" s="282"/>
      <c r="I8" s="11"/>
      <c r="J8" s="35">
        <v>0.39583333333333298</v>
      </c>
      <c r="K8" s="21">
        <v>0.8125</v>
      </c>
      <c r="L8" s="14">
        <f t="shared" ref="L8" si="0">K8-J8</f>
        <v>0.41666666666666702</v>
      </c>
    </row>
    <row r="9" spans="1:12" x14ac:dyDescent="0.25">
      <c r="A9" s="27">
        <v>44443</v>
      </c>
      <c r="B9" s="393" t="s">
        <v>21</v>
      </c>
      <c r="C9" s="393"/>
      <c r="D9" s="393"/>
      <c r="E9" s="393"/>
      <c r="F9" s="393"/>
      <c r="G9" s="393"/>
      <c r="H9" s="393"/>
      <c r="I9" s="27"/>
      <c r="J9" s="36"/>
      <c r="K9" s="31"/>
      <c r="L9" s="32"/>
    </row>
    <row r="10" spans="1:12" x14ac:dyDescent="0.25">
      <c r="A10" s="27">
        <v>44444</v>
      </c>
      <c r="B10" s="393" t="s">
        <v>21</v>
      </c>
      <c r="C10" s="393"/>
      <c r="D10" s="393"/>
      <c r="E10" s="393"/>
      <c r="F10" s="393"/>
      <c r="G10" s="393"/>
      <c r="H10" s="393"/>
      <c r="I10" s="27"/>
      <c r="J10" s="36"/>
      <c r="K10" s="31"/>
      <c r="L10" s="32"/>
    </row>
    <row r="11" spans="1:12" x14ac:dyDescent="0.25">
      <c r="A11" s="11">
        <v>44445</v>
      </c>
      <c r="B11" s="259" t="s">
        <v>22</v>
      </c>
      <c r="C11" s="259"/>
      <c r="D11" s="259"/>
      <c r="E11" s="259"/>
      <c r="F11" s="259"/>
      <c r="G11" s="259"/>
      <c r="H11" s="259"/>
      <c r="I11" s="18"/>
      <c r="J11" s="35">
        <v>0.39583333333333298</v>
      </c>
      <c r="K11" s="21">
        <v>0.8125</v>
      </c>
      <c r="L11" s="14">
        <f t="shared" ref="L11:L15" si="1">K11-J11</f>
        <v>0.41666666666666702</v>
      </c>
    </row>
    <row r="12" spans="1:12" x14ac:dyDescent="0.25">
      <c r="A12" s="11">
        <v>44446</v>
      </c>
      <c r="B12" s="259" t="s">
        <v>22</v>
      </c>
      <c r="C12" s="259"/>
      <c r="D12" s="259"/>
      <c r="E12" s="259"/>
      <c r="F12" s="259"/>
      <c r="G12" s="259"/>
      <c r="H12" s="259"/>
      <c r="I12" s="18"/>
      <c r="J12" s="35">
        <v>0.39583333333333298</v>
      </c>
      <c r="K12" s="21">
        <v>0.8125</v>
      </c>
      <c r="L12" s="14">
        <f t="shared" si="1"/>
        <v>0.41666666666666702</v>
      </c>
    </row>
    <row r="13" spans="1:12" x14ac:dyDescent="0.25">
      <c r="A13" s="11">
        <v>44447</v>
      </c>
      <c r="B13" s="259" t="s">
        <v>22</v>
      </c>
      <c r="C13" s="259"/>
      <c r="D13" s="259"/>
      <c r="E13" s="259"/>
      <c r="F13" s="259"/>
      <c r="G13" s="259"/>
      <c r="H13" s="259"/>
      <c r="I13" s="18"/>
      <c r="J13" s="35">
        <v>0.39583333333333298</v>
      </c>
      <c r="K13" s="21">
        <v>0.8125</v>
      </c>
      <c r="L13" s="14">
        <f t="shared" si="1"/>
        <v>0.41666666666666702</v>
      </c>
    </row>
    <row r="14" spans="1:12" x14ac:dyDescent="0.25">
      <c r="A14" s="11">
        <v>44448</v>
      </c>
      <c r="B14" s="259" t="s">
        <v>22</v>
      </c>
      <c r="C14" s="259"/>
      <c r="D14" s="259"/>
      <c r="E14" s="259"/>
      <c r="F14" s="259"/>
      <c r="G14" s="259"/>
      <c r="H14" s="259"/>
      <c r="I14" s="18"/>
      <c r="J14" s="35">
        <v>0.39583333333333298</v>
      </c>
      <c r="K14" s="21">
        <v>0.8125</v>
      </c>
      <c r="L14" s="14">
        <f t="shared" si="1"/>
        <v>0.41666666666666702</v>
      </c>
    </row>
    <row r="15" spans="1:12" x14ac:dyDescent="0.25">
      <c r="A15" s="11">
        <v>44449</v>
      </c>
      <c r="B15" s="259" t="s">
        <v>22</v>
      </c>
      <c r="C15" s="259"/>
      <c r="D15" s="259"/>
      <c r="E15" s="259"/>
      <c r="F15" s="259"/>
      <c r="G15" s="259"/>
      <c r="H15" s="259"/>
      <c r="I15" s="18"/>
      <c r="J15" s="35">
        <v>0.39583333333333298</v>
      </c>
      <c r="K15" s="21">
        <v>0.8125</v>
      </c>
      <c r="L15" s="14">
        <f t="shared" si="1"/>
        <v>0.41666666666666702</v>
      </c>
    </row>
    <row r="16" spans="1:12" x14ac:dyDescent="0.25">
      <c r="A16" s="27">
        <v>44450</v>
      </c>
      <c r="B16" s="395" t="s">
        <v>23</v>
      </c>
      <c r="C16" s="395"/>
      <c r="D16" s="395"/>
      <c r="E16" s="395"/>
      <c r="F16" s="395"/>
      <c r="G16" s="395"/>
      <c r="H16" s="395"/>
      <c r="I16" s="28"/>
      <c r="J16" s="36"/>
      <c r="K16" s="29"/>
      <c r="L16" s="28"/>
    </row>
    <row r="17" spans="1:12" x14ac:dyDescent="0.25">
      <c r="A17" s="27">
        <v>44451</v>
      </c>
      <c r="B17" s="393" t="s">
        <v>24</v>
      </c>
      <c r="C17" s="393"/>
      <c r="D17" s="393"/>
      <c r="E17" s="393"/>
      <c r="F17" s="393"/>
      <c r="G17" s="393"/>
      <c r="H17" s="393"/>
      <c r="I17" s="28"/>
      <c r="J17" s="36"/>
      <c r="K17" s="29"/>
      <c r="L17" s="28"/>
    </row>
    <row r="18" spans="1:12" x14ac:dyDescent="0.25">
      <c r="A18" s="11">
        <v>44452</v>
      </c>
      <c r="B18" s="259" t="s">
        <v>25</v>
      </c>
      <c r="C18" s="259"/>
      <c r="D18" s="259"/>
      <c r="E18" s="259"/>
      <c r="F18" s="259"/>
      <c r="G18" s="259"/>
      <c r="H18" s="259"/>
      <c r="I18" s="18"/>
      <c r="J18" s="35">
        <v>0.35416666666666669</v>
      </c>
      <c r="K18" s="21">
        <v>0.8125</v>
      </c>
      <c r="L18" s="14">
        <f t="shared" ref="L18:L22" si="2">K18-J18</f>
        <v>0.45833333333333331</v>
      </c>
    </row>
    <row r="19" spans="1:12" x14ac:dyDescent="0.25">
      <c r="A19" s="11">
        <v>44453</v>
      </c>
      <c r="B19" s="259" t="s">
        <v>26</v>
      </c>
      <c r="C19" s="259"/>
      <c r="D19" s="259"/>
      <c r="E19" s="259"/>
      <c r="F19" s="259"/>
      <c r="G19" s="259"/>
      <c r="H19" s="259"/>
      <c r="I19" s="18"/>
      <c r="J19" s="35">
        <v>0.35416666666666669</v>
      </c>
      <c r="K19" s="21">
        <v>0.8125</v>
      </c>
      <c r="L19" s="14">
        <f t="shared" si="2"/>
        <v>0.45833333333333331</v>
      </c>
    </row>
    <row r="20" spans="1:12" x14ac:dyDescent="0.25">
      <c r="A20" s="11">
        <v>44454</v>
      </c>
      <c r="B20" s="259" t="s">
        <v>27</v>
      </c>
      <c r="C20" s="259"/>
      <c r="D20" s="259"/>
      <c r="E20" s="259"/>
      <c r="F20" s="259"/>
      <c r="G20" s="259"/>
      <c r="H20" s="259"/>
      <c r="I20" s="18"/>
      <c r="J20" s="35">
        <v>0.35416666666666669</v>
      </c>
      <c r="K20" s="21">
        <v>0.8125</v>
      </c>
      <c r="L20" s="14">
        <f t="shared" si="2"/>
        <v>0.45833333333333331</v>
      </c>
    </row>
    <row r="21" spans="1:12" x14ac:dyDescent="0.25">
      <c r="A21" s="11">
        <v>44455</v>
      </c>
      <c r="B21" s="259" t="s">
        <v>28</v>
      </c>
      <c r="C21" s="259"/>
      <c r="D21" s="259"/>
      <c r="E21" s="259"/>
      <c r="F21" s="259"/>
      <c r="G21" s="259"/>
      <c r="H21" s="259"/>
      <c r="I21" s="18"/>
      <c r="J21" s="35">
        <v>0.35416666666666669</v>
      </c>
      <c r="K21" s="21">
        <v>0.8125</v>
      </c>
      <c r="L21" s="14">
        <f t="shared" si="2"/>
        <v>0.45833333333333331</v>
      </c>
    </row>
    <row r="22" spans="1:12" x14ac:dyDescent="0.25">
      <c r="A22" s="11">
        <v>44456</v>
      </c>
      <c r="B22" s="259" t="s">
        <v>29</v>
      </c>
      <c r="C22" s="259"/>
      <c r="D22" s="259"/>
      <c r="E22" s="259"/>
      <c r="F22" s="259"/>
      <c r="G22" s="259"/>
      <c r="H22" s="259"/>
      <c r="I22" s="18"/>
      <c r="J22" s="35">
        <v>0.39583333333333298</v>
      </c>
      <c r="K22" s="21">
        <v>0.8125</v>
      </c>
      <c r="L22" s="14">
        <f t="shared" si="2"/>
        <v>0.41666666666666702</v>
      </c>
    </row>
    <row r="23" spans="1:12" x14ac:dyDescent="0.25">
      <c r="A23" s="27">
        <v>44457</v>
      </c>
      <c r="B23" s="395" t="s">
        <v>29</v>
      </c>
      <c r="C23" s="395"/>
      <c r="D23" s="395"/>
      <c r="E23" s="395"/>
      <c r="F23" s="395"/>
      <c r="G23" s="395"/>
      <c r="H23" s="395"/>
      <c r="I23" s="28"/>
      <c r="J23" s="29"/>
      <c r="K23" s="29"/>
      <c r="L23" s="28"/>
    </row>
    <row r="24" spans="1:12" x14ac:dyDescent="0.25">
      <c r="A24" s="27">
        <v>44458</v>
      </c>
      <c r="B24" s="393" t="s">
        <v>30</v>
      </c>
      <c r="C24" s="393"/>
      <c r="D24" s="393"/>
      <c r="E24" s="393"/>
      <c r="F24" s="393"/>
      <c r="G24" s="393"/>
      <c r="H24" s="393"/>
      <c r="I24" s="28"/>
      <c r="J24" s="29"/>
      <c r="K24" s="29"/>
      <c r="L24" s="28"/>
    </row>
    <row r="25" spans="1:12" x14ac:dyDescent="0.25">
      <c r="A25" s="11">
        <v>44459</v>
      </c>
      <c r="B25" s="282" t="s">
        <v>33</v>
      </c>
      <c r="C25" s="282"/>
      <c r="D25" s="282"/>
      <c r="E25" s="282"/>
      <c r="F25" s="282"/>
      <c r="G25" s="282"/>
      <c r="H25" s="282"/>
      <c r="I25" s="18"/>
      <c r="J25" s="22">
        <v>0.39583333333333331</v>
      </c>
      <c r="K25" s="21">
        <v>0.8125</v>
      </c>
      <c r="L25" s="14">
        <f t="shared" ref="L25:L29" si="3">K25-J25</f>
        <v>0.41666666666666669</v>
      </c>
    </row>
    <row r="26" spans="1:12" x14ac:dyDescent="0.25">
      <c r="A26" s="11">
        <v>44460</v>
      </c>
      <c r="B26" s="282" t="s">
        <v>32</v>
      </c>
      <c r="C26" s="282"/>
      <c r="D26" s="282"/>
      <c r="E26" s="282"/>
      <c r="F26" s="282"/>
      <c r="G26" s="282"/>
      <c r="H26" s="282"/>
      <c r="I26" s="18"/>
      <c r="J26" s="22">
        <v>0.39583333333333331</v>
      </c>
      <c r="K26" s="21">
        <v>0.8125</v>
      </c>
      <c r="L26" s="14">
        <f t="shared" si="3"/>
        <v>0.41666666666666669</v>
      </c>
    </row>
    <row r="27" spans="1:12" x14ac:dyDescent="0.25">
      <c r="A27" s="11">
        <v>44461</v>
      </c>
      <c r="B27" s="282" t="s">
        <v>32</v>
      </c>
      <c r="C27" s="282"/>
      <c r="D27" s="282"/>
      <c r="E27" s="282"/>
      <c r="F27" s="282"/>
      <c r="G27" s="282"/>
      <c r="H27" s="282"/>
      <c r="I27" s="18"/>
      <c r="J27" s="22">
        <v>0.39583333333333331</v>
      </c>
      <c r="K27" s="21">
        <v>0.8125</v>
      </c>
      <c r="L27" s="14">
        <f t="shared" si="3"/>
        <v>0.41666666666666669</v>
      </c>
    </row>
    <row r="28" spans="1:12" x14ac:dyDescent="0.25">
      <c r="A28" s="11">
        <v>44462</v>
      </c>
      <c r="B28" s="282" t="s">
        <v>31</v>
      </c>
      <c r="C28" s="282"/>
      <c r="D28" s="282"/>
      <c r="E28" s="282"/>
      <c r="F28" s="282"/>
      <c r="G28" s="282"/>
      <c r="H28" s="282"/>
      <c r="I28" s="18"/>
      <c r="J28" s="22">
        <v>0.39583333333333331</v>
      </c>
      <c r="K28" s="21">
        <v>0.8125</v>
      </c>
      <c r="L28" s="14">
        <f t="shared" si="3"/>
        <v>0.41666666666666669</v>
      </c>
    </row>
    <row r="29" spans="1:12" x14ac:dyDescent="0.25">
      <c r="A29" s="11">
        <v>44463</v>
      </c>
      <c r="B29" s="282" t="s">
        <v>31</v>
      </c>
      <c r="C29" s="282"/>
      <c r="D29" s="282"/>
      <c r="E29" s="282"/>
      <c r="F29" s="282"/>
      <c r="G29" s="282"/>
      <c r="H29" s="282"/>
      <c r="I29" s="18"/>
      <c r="J29" s="22">
        <v>0.39583333333333331</v>
      </c>
      <c r="K29" s="21">
        <v>0.8125</v>
      </c>
      <c r="L29" s="14">
        <f t="shared" si="3"/>
        <v>0.41666666666666669</v>
      </c>
    </row>
    <row r="30" spans="1:12" x14ac:dyDescent="0.25">
      <c r="A30" s="24">
        <v>44464</v>
      </c>
      <c r="B30" s="394" t="s">
        <v>37</v>
      </c>
      <c r="C30" s="394"/>
      <c r="D30" s="394"/>
      <c r="E30" s="394"/>
      <c r="F30" s="394"/>
      <c r="G30" s="394"/>
      <c r="H30" s="394"/>
      <c r="I30" s="25"/>
      <c r="J30" s="29">
        <v>0.39583333333333331</v>
      </c>
      <c r="K30" s="30">
        <v>0.8125</v>
      </c>
      <c r="L30" s="32">
        <f t="shared" ref="L30" si="4">K30-J30</f>
        <v>0.41666666666666669</v>
      </c>
    </row>
    <row r="31" spans="1:12" x14ac:dyDescent="0.25">
      <c r="A31" s="24">
        <v>44465</v>
      </c>
      <c r="B31" s="394" t="s">
        <v>40</v>
      </c>
      <c r="C31" s="394"/>
      <c r="D31" s="394"/>
      <c r="E31" s="394"/>
      <c r="F31" s="394"/>
      <c r="G31" s="394"/>
      <c r="H31" s="394"/>
      <c r="I31" s="25"/>
      <c r="J31" s="26"/>
      <c r="K31" s="26"/>
      <c r="L31" s="25"/>
    </row>
    <row r="32" spans="1:12" x14ac:dyDescent="0.25">
      <c r="A32" s="11">
        <v>44466</v>
      </c>
      <c r="B32" s="282" t="s">
        <v>39</v>
      </c>
      <c r="C32" s="282"/>
      <c r="D32" s="282"/>
      <c r="E32" s="282"/>
      <c r="F32" s="282"/>
      <c r="G32" s="282"/>
      <c r="H32" s="282"/>
      <c r="I32" s="18"/>
      <c r="J32" s="22">
        <v>0.39583333333333331</v>
      </c>
      <c r="K32" s="21">
        <v>0.8125</v>
      </c>
      <c r="L32" s="14">
        <f t="shared" ref="L32:L34" si="5">K32-J32</f>
        <v>0.41666666666666669</v>
      </c>
    </row>
    <row r="33" spans="1:12" x14ac:dyDescent="0.25">
      <c r="A33" s="11">
        <v>44467</v>
      </c>
      <c r="B33" s="282" t="s">
        <v>38</v>
      </c>
      <c r="C33" s="282"/>
      <c r="D33" s="282"/>
      <c r="E33" s="282"/>
      <c r="F33" s="282"/>
      <c r="G33" s="282"/>
      <c r="H33" s="282"/>
      <c r="I33" s="18"/>
      <c r="J33" s="22">
        <v>0.39583333333333331</v>
      </c>
      <c r="K33" s="21">
        <v>0.8125</v>
      </c>
      <c r="L33" s="14">
        <f t="shared" si="5"/>
        <v>0.41666666666666669</v>
      </c>
    </row>
    <row r="34" spans="1:12" x14ac:dyDescent="0.25">
      <c r="A34" s="11">
        <v>44468</v>
      </c>
      <c r="B34" s="282" t="s">
        <v>41</v>
      </c>
      <c r="C34" s="282"/>
      <c r="D34" s="282"/>
      <c r="E34" s="282"/>
      <c r="F34" s="282"/>
      <c r="G34" s="282"/>
      <c r="H34" s="282"/>
      <c r="I34" s="18"/>
      <c r="J34" s="22">
        <v>0.39583333333333331</v>
      </c>
      <c r="K34" s="21">
        <v>0.85416666666666663</v>
      </c>
      <c r="L34" s="14">
        <f t="shared" si="5"/>
        <v>0.45833333333333331</v>
      </c>
    </row>
    <row r="35" spans="1:12" x14ac:dyDescent="0.25">
      <c r="A35" s="11">
        <v>44469</v>
      </c>
      <c r="B35" s="282" t="s">
        <v>42</v>
      </c>
      <c r="C35" s="282"/>
      <c r="D35" s="282"/>
      <c r="E35" s="282"/>
      <c r="F35" s="282"/>
      <c r="G35" s="282"/>
      <c r="H35" s="282"/>
      <c r="I35" s="18"/>
      <c r="J35" s="22">
        <v>0.39583333333333331</v>
      </c>
      <c r="K35" s="21">
        <v>0.85416666666666663</v>
      </c>
      <c r="L35" s="14">
        <f t="shared" ref="L35" si="6">K35-J35</f>
        <v>0.45833333333333331</v>
      </c>
    </row>
    <row r="36" spans="1:12" x14ac:dyDescent="0.25">
      <c r="A36" s="18"/>
      <c r="B36" s="291"/>
      <c r="C36" s="292"/>
      <c r="D36" s="292"/>
      <c r="E36" s="292"/>
      <c r="F36" s="292"/>
      <c r="G36" s="292"/>
      <c r="H36" s="293"/>
      <c r="I36" s="18"/>
      <c r="J36" s="22"/>
      <c r="K36" s="22"/>
      <c r="L36" s="18"/>
    </row>
  </sheetData>
  <mergeCells count="37">
    <mergeCell ref="B11:H11"/>
    <mergeCell ref="A1:L1"/>
    <mergeCell ref="B2:D2"/>
    <mergeCell ref="F2:L2"/>
    <mergeCell ref="B3:D3"/>
    <mergeCell ref="F3:L3"/>
    <mergeCell ref="B5:I5"/>
    <mergeCell ref="B6:H6"/>
    <mergeCell ref="B7:H7"/>
    <mergeCell ref="B8:H8"/>
    <mergeCell ref="B9:H9"/>
    <mergeCell ref="B10:H10"/>
    <mergeCell ref="B23:H23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36:H36"/>
    <mergeCell ref="B35:H35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L111"/>
  <sheetViews>
    <sheetView workbookViewId="0">
      <selection activeCell="B36" sqref="B36:H36"/>
    </sheetView>
  </sheetViews>
  <sheetFormatPr defaultColWidth="9.140625" defaultRowHeight="15" x14ac:dyDescent="0.25"/>
  <cols>
    <col min="1" max="1" width="25" style="3" customWidth="1"/>
    <col min="2" max="2" width="34.140625" style="3" customWidth="1"/>
    <col min="3" max="4" width="9.140625" style="3"/>
    <col min="5" max="5" width="18.140625" style="3" customWidth="1"/>
    <col min="6" max="8" width="9.140625" style="3"/>
    <col min="9" max="9" width="9.140625" style="3" hidden="1" customWidth="1"/>
    <col min="10" max="10" width="9.140625" style="7"/>
    <col min="11" max="11" width="13.42578125" style="7" customWidth="1"/>
    <col min="12" max="12" width="14.5703125" style="3" customWidth="1"/>
    <col min="13" max="16384" width="9.140625" style="3"/>
  </cols>
  <sheetData>
    <row r="2" spans="1:12" ht="23.25" x14ac:dyDescent="0.35">
      <c r="A2" s="398" t="s">
        <v>10</v>
      </c>
      <c r="B2" s="398"/>
      <c r="C2" s="4"/>
      <c r="D2" s="4"/>
      <c r="E2" s="4"/>
      <c r="F2" s="4"/>
      <c r="G2" s="4"/>
      <c r="H2" s="4"/>
    </row>
    <row r="4" spans="1:12" ht="18.75" x14ac:dyDescent="0.3">
      <c r="A4" s="356" t="s">
        <v>0</v>
      </c>
      <c r="B4" s="356"/>
      <c r="C4" s="356"/>
      <c r="D4" s="356"/>
      <c r="E4" s="356"/>
      <c r="F4" s="356"/>
      <c r="G4" s="356"/>
      <c r="H4" s="356"/>
      <c r="I4" s="356"/>
      <c r="J4" s="356"/>
      <c r="K4" s="356"/>
      <c r="L4" s="356"/>
    </row>
    <row r="5" spans="1:12" x14ac:dyDescent="0.25">
      <c r="A5" s="5" t="s">
        <v>1</v>
      </c>
      <c r="B5" s="357" t="s">
        <v>16</v>
      </c>
      <c r="C5" s="357"/>
      <c r="D5" s="357"/>
      <c r="E5" s="5" t="s">
        <v>8</v>
      </c>
      <c r="F5" s="357" t="s">
        <v>17</v>
      </c>
      <c r="G5" s="357"/>
      <c r="H5" s="357"/>
      <c r="I5" s="357"/>
      <c r="J5" s="357"/>
      <c r="K5" s="357"/>
      <c r="L5" s="357"/>
    </row>
    <row r="6" spans="1:12" x14ac:dyDescent="0.25">
      <c r="A6" s="5" t="s">
        <v>2</v>
      </c>
      <c r="B6" s="357" t="s">
        <v>18</v>
      </c>
      <c r="C6" s="357"/>
      <c r="D6" s="357"/>
      <c r="E6" s="5" t="s">
        <v>3</v>
      </c>
      <c r="F6" s="357" t="s">
        <v>13</v>
      </c>
      <c r="G6" s="357"/>
      <c r="H6" s="357"/>
      <c r="I6" s="357"/>
      <c r="J6" s="357"/>
      <c r="K6" s="357"/>
      <c r="L6" s="357"/>
    </row>
    <row r="7" spans="1:12" x14ac:dyDescent="0.25">
      <c r="A7" s="6"/>
      <c r="B7" s="6"/>
      <c r="C7" s="6"/>
      <c r="D7" s="6"/>
      <c r="E7" s="6"/>
      <c r="F7" s="6"/>
      <c r="G7" s="6"/>
      <c r="H7" s="6"/>
      <c r="I7" s="6"/>
      <c r="J7" s="8"/>
      <c r="K7" s="8"/>
      <c r="L7" s="6"/>
    </row>
    <row r="8" spans="1:12" x14ac:dyDescent="0.25">
      <c r="A8" s="1" t="s">
        <v>7</v>
      </c>
      <c r="B8" s="371" t="s">
        <v>4</v>
      </c>
      <c r="C8" s="371"/>
      <c r="D8" s="371"/>
      <c r="E8" s="371"/>
      <c r="F8" s="371"/>
      <c r="G8" s="371"/>
      <c r="H8" s="371"/>
      <c r="I8" s="371"/>
      <c r="J8" s="9" t="s">
        <v>5</v>
      </c>
      <c r="K8" s="9" t="s">
        <v>6</v>
      </c>
      <c r="L8" s="1" t="s">
        <v>9</v>
      </c>
    </row>
    <row r="9" spans="1:12" x14ac:dyDescent="0.25">
      <c r="A9" s="11">
        <v>44427</v>
      </c>
      <c r="B9" s="319" t="s">
        <v>537</v>
      </c>
      <c r="C9" s="320"/>
      <c r="D9" s="320"/>
      <c r="E9" s="320"/>
      <c r="F9" s="320"/>
      <c r="G9" s="320"/>
      <c r="H9" s="320"/>
      <c r="I9" s="106"/>
      <c r="J9" s="106"/>
      <c r="K9" s="106"/>
      <c r="L9" s="109"/>
    </row>
    <row r="10" spans="1:12" x14ac:dyDescent="0.25">
      <c r="A10" s="11">
        <v>44428</v>
      </c>
      <c r="B10" s="396"/>
      <c r="C10" s="397"/>
      <c r="D10" s="397"/>
      <c r="E10" s="397"/>
      <c r="F10" s="397"/>
      <c r="G10" s="397"/>
      <c r="H10" s="397"/>
      <c r="I10" s="107"/>
      <c r="J10" s="107"/>
      <c r="K10" s="107"/>
      <c r="L10" s="110"/>
    </row>
    <row r="11" spans="1:12" x14ac:dyDescent="0.25">
      <c r="A11" s="11">
        <v>44429</v>
      </c>
      <c r="B11" s="396"/>
      <c r="C11" s="397"/>
      <c r="D11" s="397"/>
      <c r="E11" s="397"/>
      <c r="F11" s="397"/>
      <c r="G11" s="397"/>
      <c r="H11" s="397"/>
      <c r="I11" s="107"/>
      <c r="J11" s="107"/>
      <c r="K11" s="107"/>
      <c r="L11" s="110"/>
    </row>
    <row r="12" spans="1:12" x14ac:dyDescent="0.25">
      <c r="A12" s="11">
        <v>44430</v>
      </c>
      <c r="B12" s="396"/>
      <c r="C12" s="397"/>
      <c r="D12" s="397"/>
      <c r="E12" s="397"/>
      <c r="F12" s="397"/>
      <c r="G12" s="397"/>
      <c r="H12" s="397"/>
      <c r="I12" s="107"/>
      <c r="J12" s="107"/>
      <c r="K12" s="107"/>
      <c r="L12" s="110"/>
    </row>
    <row r="13" spans="1:12" x14ac:dyDescent="0.25">
      <c r="A13" s="11">
        <v>44431</v>
      </c>
      <c r="B13" s="396"/>
      <c r="C13" s="397"/>
      <c r="D13" s="397"/>
      <c r="E13" s="397"/>
      <c r="F13" s="397"/>
      <c r="G13" s="397"/>
      <c r="H13" s="397"/>
      <c r="I13" s="107"/>
      <c r="J13" s="107"/>
      <c r="K13" s="107"/>
      <c r="L13" s="110"/>
    </row>
    <row r="14" spans="1:12" x14ac:dyDescent="0.25">
      <c r="A14" s="11">
        <v>44432</v>
      </c>
      <c r="B14" s="396"/>
      <c r="C14" s="397"/>
      <c r="D14" s="397"/>
      <c r="E14" s="397"/>
      <c r="F14" s="397"/>
      <c r="G14" s="397"/>
      <c r="H14" s="397"/>
      <c r="I14" s="107"/>
      <c r="J14" s="107"/>
      <c r="K14" s="107"/>
      <c r="L14" s="110"/>
    </row>
    <row r="15" spans="1:12" x14ac:dyDescent="0.25">
      <c r="A15" s="11">
        <v>44433</v>
      </c>
      <c r="B15" s="396"/>
      <c r="C15" s="397"/>
      <c r="D15" s="397"/>
      <c r="E15" s="397"/>
      <c r="F15" s="397"/>
      <c r="G15" s="397"/>
      <c r="H15" s="397"/>
      <c r="I15" s="107"/>
      <c r="J15" s="107"/>
      <c r="K15" s="107"/>
      <c r="L15" s="110"/>
    </row>
    <row r="16" spans="1:12" x14ac:dyDescent="0.25">
      <c r="A16" s="11">
        <v>44434</v>
      </c>
      <c r="B16" s="396"/>
      <c r="C16" s="397"/>
      <c r="D16" s="397"/>
      <c r="E16" s="397"/>
      <c r="F16" s="397"/>
      <c r="G16" s="397"/>
      <c r="H16" s="397"/>
      <c r="I16" s="107"/>
      <c r="J16" s="107"/>
      <c r="K16" s="107"/>
      <c r="L16" s="110"/>
    </row>
    <row r="17" spans="1:12" x14ac:dyDescent="0.25">
      <c r="A17" s="11">
        <v>44435</v>
      </c>
      <c r="B17" s="396"/>
      <c r="C17" s="397"/>
      <c r="D17" s="397"/>
      <c r="E17" s="397"/>
      <c r="F17" s="397"/>
      <c r="G17" s="397"/>
      <c r="H17" s="397"/>
      <c r="I17" s="107"/>
      <c r="J17" s="107"/>
      <c r="K17" s="107"/>
      <c r="L17" s="110"/>
    </row>
    <row r="18" spans="1:12" x14ac:dyDescent="0.25">
      <c r="A18" s="11">
        <v>44436</v>
      </c>
      <c r="B18" s="396"/>
      <c r="C18" s="397"/>
      <c r="D18" s="397"/>
      <c r="E18" s="397"/>
      <c r="F18" s="397"/>
      <c r="G18" s="397"/>
      <c r="H18" s="397"/>
      <c r="I18" s="107"/>
      <c r="J18" s="107"/>
      <c r="K18" s="107"/>
      <c r="L18" s="110"/>
    </row>
    <row r="19" spans="1:12" x14ac:dyDescent="0.25">
      <c r="A19" s="11">
        <v>44437</v>
      </c>
      <c r="B19" s="302"/>
      <c r="C19" s="303"/>
      <c r="D19" s="303"/>
      <c r="E19" s="303"/>
      <c r="F19" s="303"/>
      <c r="G19" s="303"/>
      <c r="H19" s="303"/>
      <c r="I19" s="108"/>
      <c r="J19" s="108"/>
      <c r="K19" s="108"/>
      <c r="L19" s="111"/>
    </row>
    <row r="20" spans="1:12" x14ac:dyDescent="0.25">
      <c r="A20" s="11">
        <v>44438</v>
      </c>
      <c r="B20" s="259" t="s">
        <v>14</v>
      </c>
      <c r="C20" s="259"/>
      <c r="D20" s="259"/>
      <c r="E20" s="259"/>
      <c r="F20" s="259"/>
      <c r="G20" s="259"/>
      <c r="H20" s="259"/>
      <c r="I20" s="12"/>
      <c r="J20" s="13" t="s">
        <v>11</v>
      </c>
      <c r="K20" s="13" t="s">
        <v>12</v>
      </c>
      <c r="L20" s="14">
        <v>10</v>
      </c>
    </row>
    <row r="21" spans="1:12" x14ac:dyDescent="0.25">
      <c r="A21" s="11">
        <v>44439</v>
      </c>
      <c r="B21" s="280" t="s">
        <v>15</v>
      </c>
      <c r="C21" s="280"/>
      <c r="D21" s="280"/>
      <c r="E21" s="280"/>
      <c r="F21" s="280"/>
      <c r="G21" s="280"/>
      <c r="H21" s="280"/>
      <c r="I21" s="15"/>
      <c r="J21" s="13" t="s">
        <v>11</v>
      </c>
      <c r="K21" s="14" t="s">
        <v>12</v>
      </c>
      <c r="L21" s="12">
        <v>10</v>
      </c>
    </row>
    <row r="22" spans="1:12" x14ac:dyDescent="0.25">
      <c r="A22" s="11"/>
      <c r="B22" s="282"/>
      <c r="C22" s="282"/>
      <c r="D22" s="282"/>
      <c r="E22" s="282"/>
      <c r="F22" s="282"/>
      <c r="G22" s="282"/>
      <c r="H22" s="282"/>
      <c r="I22" s="11"/>
      <c r="J22" s="13"/>
      <c r="K22" s="16"/>
      <c r="L22" s="12"/>
    </row>
    <row r="23" spans="1:12" x14ac:dyDescent="0.25">
      <c r="A23" s="11"/>
      <c r="B23" s="282"/>
      <c r="C23" s="282"/>
      <c r="D23" s="282"/>
      <c r="E23" s="282"/>
      <c r="F23" s="282"/>
      <c r="G23" s="282"/>
      <c r="H23" s="282"/>
      <c r="I23" s="11"/>
      <c r="J23" s="13"/>
      <c r="K23" s="16"/>
      <c r="L23" s="12"/>
    </row>
    <row r="24" spans="1:12" x14ac:dyDescent="0.25">
      <c r="A24" s="11"/>
      <c r="B24" s="282"/>
      <c r="C24" s="282"/>
      <c r="D24" s="282"/>
      <c r="E24" s="282"/>
      <c r="F24" s="282"/>
      <c r="G24" s="282"/>
      <c r="H24" s="282"/>
      <c r="I24" s="11"/>
      <c r="J24" s="13"/>
      <c r="K24" s="16"/>
      <c r="L24" s="17"/>
    </row>
    <row r="25" spans="1:12" x14ac:dyDescent="0.25">
      <c r="A25" s="2"/>
      <c r="B25" s="350"/>
      <c r="C25" s="350"/>
      <c r="D25" s="350"/>
      <c r="E25" s="350"/>
      <c r="F25" s="350"/>
      <c r="G25" s="350"/>
      <c r="H25" s="350"/>
      <c r="I25" s="2"/>
      <c r="J25" s="10"/>
      <c r="K25" s="10"/>
    </row>
    <row r="26" spans="1:12" x14ac:dyDescent="0.25">
      <c r="A26" s="2"/>
      <c r="B26" s="397"/>
      <c r="C26" s="397"/>
      <c r="D26" s="397"/>
      <c r="E26" s="397"/>
      <c r="F26" s="397"/>
      <c r="G26" s="397"/>
      <c r="H26" s="397"/>
      <c r="I26" s="2"/>
      <c r="J26" s="10"/>
      <c r="K26" s="10"/>
    </row>
    <row r="27" spans="1:12" x14ac:dyDescent="0.25">
      <c r="A27" s="2"/>
      <c r="B27" s="397"/>
      <c r="C27" s="397"/>
      <c r="D27" s="397"/>
      <c r="E27" s="397"/>
      <c r="F27" s="397"/>
      <c r="G27" s="397"/>
      <c r="H27" s="397"/>
      <c r="I27" s="2"/>
      <c r="J27" s="10"/>
      <c r="K27" s="10"/>
    </row>
    <row r="28" spans="1:12" x14ac:dyDescent="0.25">
      <c r="A28" s="2"/>
      <c r="B28" s="397"/>
      <c r="C28" s="397"/>
      <c r="D28" s="397"/>
      <c r="E28" s="397"/>
      <c r="F28" s="397"/>
      <c r="G28" s="397"/>
      <c r="H28" s="397"/>
      <c r="I28" s="2"/>
      <c r="J28" s="10"/>
      <c r="K28" s="10"/>
    </row>
    <row r="29" spans="1:12" x14ac:dyDescent="0.25">
      <c r="A29" s="2"/>
      <c r="B29" s="397"/>
      <c r="C29" s="397"/>
      <c r="D29" s="397"/>
      <c r="E29" s="397"/>
      <c r="F29" s="397"/>
      <c r="G29" s="397"/>
      <c r="H29" s="397"/>
      <c r="I29" s="2"/>
      <c r="J29" s="10"/>
      <c r="K29" s="10"/>
    </row>
    <row r="30" spans="1:12" x14ac:dyDescent="0.25">
      <c r="A30" s="2"/>
      <c r="B30" s="397"/>
      <c r="C30" s="397"/>
      <c r="D30" s="397"/>
      <c r="E30" s="397"/>
      <c r="F30" s="397"/>
      <c r="G30" s="397"/>
      <c r="H30" s="397"/>
      <c r="I30" s="2"/>
      <c r="J30" s="10"/>
      <c r="K30" s="10"/>
    </row>
    <row r="31" spans="1:12" x14ac:dyDescent="0.25">
      <c r="A31" s="2"/>
      <c r="B31" s="397"/>
      <c r="C31" s="397"/>
      <c r="D31" s="397"/>
      <c r="E31" s="397"/>
      <c r="F31" s="397"/>
      <c r="G31" s="397"/>
      <c r="H31" s="397"/>
      <c r="I31" s="2"/>
      <c r="J31" s="10"/>
      <c r="K31" s="10"/>
    </row>
    <row r="32" spans="1:12" x14ac:dyDescent="0.25">
      <c r="A32" s="2"/>
      <c r="B32" s="397"/>
      <c r="C32" s="397"/>
      <c r="D32" s="397"/>
      <c r="E32" s="397"/>
      <c r="F32" s="397"/>
      <c r="G32" s="397"/>
      <c r="H32" s="397"/>
      <c r="I32" s="2"/>
      <c r="J32" s="10"/>
      <c r="K32" s="10"/>
    </row>
    <row r="33" spans="1:11" x14ac:dyDescent="0.25">
      <c r="A33" s="2"/>
      <c r="B33" s="397"/>
      <c r="C33" s="397"/>
      <c r="D33" s="397"/>
      <c r="E33" s="397"/>
      <c r="F33" s="397"/>
      <c r="G33" s="397"/>
      <c r="H33" s="397"/>
      <c r="I33" s="2"/>
      <c r="J33" s="10"/>
      <c r="K33" s="10"/>
    </row>
    <row r="34" spans="1:11" x14ac:dyDescent="0.25">
      <c r="A34" s="2"/>
      <c r="B34" s="397"/>
      <c r="C34" s="397"/>
      <c r="D34" s="397"/>
      <c r="E34" s="397"/>
      <c r="F34" s="397"/>
      <c r="G34" s="397"/>
      <c r="H34" s="397"/>
      <c r="I34" s="2"/>
      <c r="J34" s="10"/>
      <c r="K34" s="10"/>
    </row>
    <row r="35" spans="1:11" x14ac:dyDescent="0.25">
      <c r="A35" s="2"/>
      <c r="B35" s="397"/>
      <c r="C35" s="397"/>
      <c r="D35" s="397"/>
      <c r="E35" s="397"/>
      <c r="F35" s="397"/>
      <c r="G35" s="397"/>
      <c r="H35" s="397"/>
      <c r="I35" s="2"/>
      <c r="J35" s="10"/>
      <c r="K35" s="10"/>
    </row>
    <row r="36" spans="1:11" x14ac:dyDescent="0.25">
      <c r="A36" s="2"/>
      <c r="B36" s="397"/>
      <c r="C36" s="397"/>
      <c r="D36" s="397"/>
      <c r="E36" s="397"/>
      <c r="F36" s="397"/>
      <c r="G36" s="397"/>
      <c r="H36" s="397"/>
      <c r="I36" s="2"/>
      <c r="J36" s="10"/>
      <c r="K36" s="10"/>
    </row>
    <row r="37" spans="1:11" x14ac:dyDescent="0.25">
      <c r="A37" s="2"/>
      <c r="B37" s="397"/>
      <c r="C37" s="397"/>
      <c r="D37" s="397"/>
      <c r="E37" s="397"/>
      <c r="F37" s="397"/>
      <c r="G37" s="397"/>
      <c r="H37" s="397"/>
      <c r="I37" s="2"/>
      <c r="J37" s="10"/>
      <c r="K37" s="10"/>
    </row>
    <row r="38" spans="1:11" x14ac:dyDescent="0.25">
      <c r="A38" s="2"/>
      <c r="B38" s="397"/>
      <c r="C38" s="397"/>
      <c r="D38" s="397"/>
      <c r="E38" s="397"/>
      <c r="F38" s="397"/>
      <c r="G38" s="397"/>
      <c r="H38" s="397"/>
      <c r="I38" s="2"/>
      <c r="J38" s="10"/>
      <c r="K38" s="10"/>
    </row>
    <row r="39" spans="1:11" x14ac:dyDescent="0.25">
      <c r="A39" s="2"/>
      <c r="B39" s="397"/>
      <c r="C39" s="397"/>
      <c r="D39" s="397"/>
      <c r="E39" s="397"/>
      <c r="F39" s="397"/>
      <c r="G39" s="397"/>
      <c r="H39" s="397"/>
      <c r="I39" s="2"/>
      <c r="J39" s="10"/>
      <c r="K39" s="10"/>
    </row>
    <row r="40" spans="1:11" x14ac:dyDescent="0.25">
      <c r="A40" s="2"/>
      <c r="B40" s="397"/>
      <c r="C40" s="397"/>
      <c r="D40" s="397"/>
      <c r="E40" s="397"/>
      <c r="F40" s="397"/>
      <c r="G40" s="397"/>
      <c r="H40" s="397"/>
      <c r="I40" s="2"/>
      <c r="J40" s="10"/>
      <c r="K40" s="10"/>
    </row>
    <row r="41" spans="1:11" x14ac:dyDescent="0.25">
      <c r="A41" s="2"/>
      <c r="B41" s="397"/>
      <c r="C41" s="397"/>
      <c r="D41" s="397"/>
      <c r="E41" s="397"/>
      <c r="F41" s="397"/>
      <c r="G41" s="397"/>
      <c r="H41" s="397"/>
      <c r="I41" s="2"/>
      <c r="J41" s="10"/>
      <c r="K41" s="10"/>
    </row>
    <row r="42" spans="1:11" x14ac:dyDescent="0.25">
      <c r="A42" s="2"/>
      <c r="B42" s="397"/>
      <c r="C42" s="397"/>
      <c r="D42" s="397"/>
      <c r="E42" s="397"/>
      <c r="F42" s="397"/>
      <c r="G42" s="397"/>
      <c r="H42" s="397"/>
      <c r="I42" s="2"/>
      <c r="J42" s="10"/>
      <c r="K42" s="10"/>
    </row>
    <row r="43" spans="1:11" x14ac:dyDescent="0.25">
      <c r="A43" s="2"/>
      <c r="B43" s="397"/>
      <c r="C43" s="397"/>
      <c r="D43" s="397"/>
      <c r="E43" s="397"/>
      <c r="F43" s="397"/>
      <c r="G43" s="397"/>
      <c r="H43" s="397"/>
      <c r="I43" s="2"/>
      <c r="J43" s="10"/>
      <c r="K43" s="10"/>
    </row>
    <row r="44" spans="1:11" x14ac:dyDescent="0.25">
      <c r="A44" s="2"/>
      <c r="B44" s="397"/>
      <c r="C44" s="397"/>
      <c r="D44" s="397"/>
      <c r="E44" s="397"/>
      <c r="F44" s="397"/>
      <c r="G44" s="397"/>
      <c r="H44" s="397"/>
      <c r="I44" s="2"/>
      <c r="J44" s="10"/>
      <c r="K44" s="10"/>
    </row>
    <row r="45" spans="1:11" x14ac:dyDescent="0.25">
      <c r="A45" s="2"/>
      <c r="B45" s="397"/>
      <c r="C45" s="397"/>
      <c r="D45" s="397"/>
      <c r="E45" s="397"/>
      <c r="F45" s="397"/>
      <c r="G45" s="397"/>
      <c r="H45" s="397"/>
      <c r="I45" s="2"/>
      <c r="J45" s="10"/>
      <c r="K45" s="10"/>
    </row>
    <row r="46" spans="1:11" x14ac:dyDescent="0.25">
      <c r="A46" s="2"/>
      <c r="B46" s="397"/>
      <c r="C46" s="397"/>
      <c r="D46" s="397"/>
      <c r="E46" s="397"/>
      <c r="F46" s="397"/>
      <c r="G46" s="397"/>
      <c r="H46" s="397"/>
      <c r="I46" s="2"/>
      <c r="J46" s="10"/>
      <c r="K46" s="10"/>
    </row>
    <row r="47" spans="1:11" x14ac:dyDescent="0.25">
      <c r="A47" s="2"/>
      <c r="B47" s="397"/>
      <c r="C47" s="397"/>
      <c r="D47" s="397"/>
      <c r="E47" s="397"/>
      <c r="F47" s="397"/>
      <c r="G47" s="397"/>
      <c r="H47" s="397"/>
      <c r="I47" s="2"/>
      <c r="J47" s="10"/>
      <c r="K47" s="10"/>
    </row>
    <row r="48" spans="1:11" x14ac:dyDescent="0.25">
      <c r="A48" s="2"/>
      <c r="B48" s="397"/>
      <c r="C48" s="397"/>
      <c r="D48" s="397"/>
      <c r="E48" s="397"/>
      <c r="F48" s="397"/>
      <c r="G48" s="397"/>
      <c r="H48" s="397"/>
      <c r="I48" s="2"/>
      <c r="J48" s="10"/>
      <c r="K48" s="10"/>
    </row>
    <row r="49" spans="1:11" x14ac:dyDescent="0.25">
      <c r="A49" s="2"/>
      <c r="B49" s="397"/>
      <c r="C49" s="397"/>
      <c r="D49" s="397"/>
      <c r="E49" s="397"/>
      <c r="F49" s="397"/>
      <c r="G49" s="397"/>
      <c r="H49" s="397"/>
      <c r="I49" s="2"/>
      <c r="J49" s="10"/>
      <c r="K49" s="10"/>
    </row>
    <row r="50" spans="1:11" x14ac:dyDescent="0.25">
      <c r="A50" s="2"/>
      <c r="B50" s="397"/>
      <c r="C50" s="397"/>
      <c r="D50" s="397"/>
      <c r="E50" s="397"/>
      <c r="F50" s="397"/>
      <c r="G50" s="397"/>
      <c r="H50" s="397"/>
      <c r="I50" s="2"/>
      <c r="J50" s="10"/>
      <c r="K50" s="10"/>
    </row>
    <row r="51" spans="1:11" x14ac:dyDescent="0.25">
      <c r="A51" s="2"/>
      <c r="B51" s="397"/>
      <c r="C51" s="397"/>
      <c r="D51" s="397"/>
      <c r="E51" s="397"/>
      <c r="F51" s="397"/>
      <c r="G51" s="397"/>
      <c r="H51" s="397"/>
      <c r="I51" s="2"/>
      <c r="J51" s="10"/>
      <c r="K51" s="10"/>
    </row>
    <row r="52" spans="1:11" x14ac:dyDescent="0.25">
      <c r="A52" s="2"/>
      <c r="B52" s="397"/>
      <c r="C52" s="397"/>
      <c r="D52" s="397"/>
      <c r="E52" s="397"/>
      <c r="F52" s="397"/>
      <c r="G52" s="397"/>
      <c r="H52" s="397"/>
      <c r="I52" s="2"/>
      <c r="J52" s="10"/>
      <c r="K52" s="10"/>
    </row>
    <row r="53" spans="1:11" x14ac:dyDescent="0.25">
      <c r="A53" s="2"/>
      <c r="B53" s="397"/>
      <c r="C53" s="397"/>
      <c r="D53" s="397"/>
      <c r="E53" s="397"/>
      <c r="F53" s="397"/>
      <c r="G53" s="397"/>
      <c r="H53" s="397"/>
      <c r="I53" s="2"/>
      <c r="J53" s="10"/>
      <c r="K53" s="10"/>
    </row>
    <row r="54" spans="1:11" x14ac:dyDescent="0.25">
      <c r="A54" s="2"/>
      <c r="B54" s="397"/>
      <c r="C54" s="397"/>
      <c r="D54" s="397"/>
      <c r="E54" s="397"/>
      <c r="F54" s="397"/>
      <c r="G54" s="397"/>
      <c r="H54" s="397"/>
      <c r="I54" s="2"/>
      <c r="J54" s="10"/>
      <c r="K54" s="10"/>
    </row>
    <row r="55" spans="1:11" x14ac:dyDescent="0.25">
      <c r="A55" s="2"/>
      <c r="B55" s="397"/>
      <c r="C55" s="397"/>
      <c r="D55" s="397"/>
      <c r="E55" s="397"/>
      <c r="F55" s="397"/>
      <c r="G55" s="397"/>
      <c r="H55" s="397"/>
      <c r="I55" s="2"/>
      <c r="J55" s="10"/>
      <c r="K55" s="10"/>
    </row>
    <row r="56" spans="1:11" x14ac:dyDescent="0.25">
      <c r="A56" s="2"/>
      <c r="B56" s="397"/>
      <c r="C56" s="397"/>
      <c r="D56" s="397"/>
      <c r="E56" s="397"/>
      <c r="F56" s="397"/>
      <c r="G56" s="397"/>
      <c r="H56" s="397"/>
      <c r="I56" s="2"/>
      <c r="J56" s="10"/>
      <c r="K56" s="10"/>
    </row>
    <row r="57" spans="1:11" x14ac:dyDescent="0.25">
      <c r="A57" s="2"/>
      <c r="B57" s="397"/>
      <c r="C57" s="397"/>
      <c r="D57" s="397"/>
      <c r="E57" s="397"/>
      <c r="F57" s="397"/>
      <c r="G57" s="397"/>
      <c r="H57" s="397"/>
      <c r="I57" s="2"/>
      <c r="J57" s="10"/>
      <c r="K57" s="10"/>
    </row>
    <row r="58" spans="1:11" ht="14.25" customHeight="1" x14ac:dyDescent="0.25">
      <c r="A58" s="2"/>
      <c r="B58" s="397"/>
      <c r="C58" s="397"/>
      <c r="D58" s="397"/>
      <c r="E58" s="397"/>
      <c r="F58" s="397"/>
      <c r="G58" s="397"/>
      <c r="H58" s="397"/>
      <c r="I58" s="2"/>
      <c r="J58" s="10"/>
      <c r="K58" s="10"/>
    </row>
    <row r="59" spans="1:11" x14ac:dyDescent="0.25">
      <c r="A59" s="2"/>
      <c r="B59" s="397"/>
      <c r="C59" s="397"/>
      <c r="D59" s="397"/>
      <c r="E59" s="397"/>
      <c r="F59" s="397"/>
      <c r="G59" s="397"/>
      <c r="H59" s="397"/>
      <c r="I59" s="2"/>
      <c r="J59" s="10"/>
      <c r="K59" s="10"/>
    </row>
    <row r="60" spans="1:11" x14ac:dyDescent="0.25">
      <c r="A60" s="2"/>
      <c r="B60" s="397"/>
      <c r="C60" s="397"/>
      <c r="D60" s="397"/>
      <c r="E60" s="397"/>
      <c r="F60" s="397"/>
      <c r="G60" s="397"/>
      <c r="H60" s="397"/>
      <c r="I60" s="2"/>
      <c r="J60" s="10"/>
      <c r="K60" s="10"/>
    </row>
    <row r="61" spans="1:11" x14ac:dyDescent="0.25">
      <c r="A61" s="2"/>
      <c r="B61" s="397"/>
      <c r="C61" s="397"/>
      <c r="D61" s="397"/>
      <c r="E61" s="397"/>
      <c r="F61" s="397"/>
      <c r="G61" s="397"/>
      <c r="H61" s="397"/>
      <c r="I61" s="2"/>
      <c r="J61" s="10"/>
      <c r="K61" s="10"/>
    </row>
    <row r="62" spans="1:11" x14ac:dyDescent="0.25">
      <c r="A62" s="2"/>
      <c r="B62" s="397"/>
      <c r="C62" s="397"/>
      <c r="D62" s="397"/>
      <c r="E62" s="397"/>
      <c r="F62" s="397"/>
      <c r="G62" s="397"/>
      <c r="H62" s="397"/>
      <c r="I62" s="2"/>
      <c r="J62" s="10"/>
      <c r="K62" s="10"/>
    </row>
    <row r="63" spans="1:11" x14ac:dyDescent="0.25">
      <c r="A63" s="2"/>
      <c r="B63" s="397"/>
      <c r="C63" s="397"/>
      <c r="D63" s="397"/>
      <c r="E63" s="397"/>
      <c r="F63" s="397"/>
      <c r="G63" s="397"/>
      <c r="H63" s="397"/>
      <c r="I63" s="2"/>
      <c r="J63" s="10"/>
      <c r="K63" s="10"/>
    </row>
    <row r="64" spans="1:11" x14ac:dyDescent="0.25">
      <c r="A64" s="2"/>
      <c r="B64" s="397"/>
      <c r="C64" s="397"/>
      <c r="D64" s="397"/>
      <c r="E64" s="397"/>
      <c r="F64" s="397"/>
      <c r="G64" s="397"/>
      <c r="H64" s="397"/>
      <c r="I64" s="2"/>
      <c r="J64" s="10"/>
      <c r="K64" s="10"/>
    </row>
    <row r="65" spans="1:11" x14ac:dyDescent="0.25">
      <c r="A65" s="2"/>
      <c r="B65" s="397"/>
      <c r="C65" s="397"/>
      <c r="D65" s="397"/>
      <c r="E65" s="397"/>
      <c r="F65" s="397"/>
      <c r="G65" s="397"/>
      <c r="H65" s="397"/>
      <c r="I65" s="2"/>
      <c r="J65" s="10"/>
      <c r="K65" s="10"/>
    </row>
    <row r="66" spans="1:11" x14ac:dyDescent="0.25">
      <c r="A66" s="2"/>
      <c r="B66" s="397"/>
      <c r="C66" s="397"/>
      <c r="D66" s="397"/>
      <c r="E66" s="397"/>
      <c r="F66" s="397"/>
      <c r="G66" s="397"/>
      <c r="H66" s="397"/>
      <c r="I66" s="2"/>
      <c r="J66" s="10"/>
      <c r="K66" s="10"/>
    </row>
    <row r="67" spans="1:11" x14ac:dyDescent="0.25">
      <c r="A67" s="2"/>
      <c r="B67" s="397"/>
      <c r="C67" s="397"/>
      <c r="D67" s="397"/>
      <c r="E67" s="397"/>
      <c r="F67" s="397"/>
      <c r="G67" s="397"/>
      <c r="H67" s="397"/>
      <c r="I67" s="2"/>
      <c r="J67" s="10"/>
      <c r="K67" s="10"/>
    </row>
    <row r="68" spans="1:11" x14ac:dyDescent="0.25">
      <c r="A68" s="2"/>
      <c r="B68" s="397"/>
      <c r="C68" s="397"/>
      <c r="D68" s="397"/>
      <c r="E68" s="397"/>
      <c r="F68" s="397"/>
      <c r="G68" s="397"/>
      <c r="H68" s="397"/>
      <c r="I68" s="2"/>
      <c r="J68" s="10"/>
      <c r="K68" s="10"/>
    </row>
    <row r="69" spans="1:11" x14ac:dyDescent="0.25">
      <c r="A69" s="2"/>
      <c r="B69" s="397"/>
      <c r="C69" s="397"/>
      <c r="D69" s="397"/>
      <c r="E69" s="397"/>
      <c r="F69" s="397"/>
      <c r="G69" s="397"/>
      <c r="H69" s="397"/>
      <c r="I69" s="2"/>
      <c r="J69" s="10"/>
      <c r="K69" s="10"/>
    </row>
    <row r="70" spans="1:11" x14ac:dyDescent="0.25">
      <c r="A70" s="2"/>
      <c r="B70" s="397"/>
      <c r="C70" s="397"/>
      <c r="D70" s="397"/>
      <c r="E70" s="397"/>
      <c r="F70" s="397"/>
      <c r="G70" s="397"/>
      <c r="H70" s="397"/>
      <c r="I70" s="2"/>
      <c r="J70" s="10"/>
      <c r="K70" s="10"/>
    </row>
    <row r="71" spans="1:11" x14ac:dyDescent="0.25">
      <c r="A71" s="2"/>
      <c r="B71" s="397"/>
      <c r="C71" s="397"/>
      <c r="D71" s="397"/>
      <c r="E71" s="397"/>
      <c r="F71" s="397"/>
      <c r="G71" s="397"/>
      <c r="H71" s="397"/>
      <c r="I71" s="2"/>
      <c r="J71" s="10"/>
      <c r="K71" s="10"/>
    </row>
    <row r="72" spans="1:11" x14ac:dyDescent="0.25">
      <c r="A72" s="2"/>
      <c r="B72" s="397"/>
      <c r="C72" s="397"/>
      <c r="D72" s="397"/>
      <c r="E72" s="397"/>
      <c r="F72" s="397"/>
      <c r="G72" s="397"/>
      <c r="H72" s="397"/>
      <c r="I72" s="2"/>
      <c r="J72" s="10"/>
      <c r="K72" s="10"/>
    </row>
    <row r="73" spans="1:11" x14ac:dyDescent="0.25">
      <c r="B73" s="397"/>
      <c r="C73" s="397"/>
      <c r="D73" s="397"/>
      <c r="E73" s="397"/>
      <c r="F73" s="397"/>
      <c r="G73" s="397"/>
      <c r="H73" s="397"/>
    </row>
    <row r="74" spans="1:11" x14ac:dyDescent="0.25">
      <c r="B74" s="397"/>
      <c r="C74" s="397"/>
      <c r="D74" s="397"/>
      <c r="E74" s="397"/>
      <c r="F74" s="397"/>
      <c r="G74" s="397"/>
      <c r="H74" s="397"/>
    </row>
    <row r="75" spans="1:11" x14ac:dyDescent="0.25">
      <c r="B75" s="397"/>
      <c r="C75" s="397"/>
      <c r="D75" s="397"/>
      <c r="E75" s="397"/>
      <c r="F75" s="397"/>
      <c r="G75" s="397"/>
      <c r="H75" s="397"/>
    </row>
    <row r="76" spans="1:11" x14ac:dyDescent="0.25">
      <c r="B76" s="397"/>
      <c r="C76" s="397"/>
      <c r="D76" s="397"/>
      <c r="E76" s="397"/>
      <c r="F76" s="397"/>
      <c r="G76" s="397"/>
      <c r="H76" s="397"/>
    </row>
    <row r="77" spans="1:11" x14ac:dyDescent="0.25">
      <c r="B77" s="397"/>
      <c r="C77" s="397"/>
      <c r="D77" s="397"/>
      <c r="E77" s="397"/>
      <c r="F77" s="397"/>
      <c r="G77" s="397"/>
      <c r="H77" s="397"/>
    </row>
    <row r="78" spans="1:11" x14ac:dyDescent="0.25">
      <c r="B78" s="397"/>
      <c r="C78" s="397"/>
      <c r="D78" s="397"/>
      <c r="E78" s="397"/>
      <c r="F78" s="397"/>
      <c r="G78" s="397"/>
      <c r="H78" s="397"/>
    </row>
    <row r="79" spans="1:11" x14ac:dyDescent="0.25">
      <c r="B79" s="397"/>
      <c r="C79" s="397"/>
      <c r="D79" s="397"/>
      <c r="E79" s="397"/>
      <c r="F79" s="397"/>
      <c r="G79" s="397"/>
      <c r="H79" s="397"/>
    </row>
    <row r="80" spans="1:11" x14ac:dyDescent="0.25">
      <c r="B80" s="397"/>
      <c r="C80" s="397"/>
      <c r="D80" s="397"/>
      <c r="E80" s="397"/>
      <c r="F80" s="397"/>
      <c r="G80" s="397"/>
      <c r="H80" s="397"/>
    </row>
    <row r="81" spans="2:8" x14ac:dyDescent="0.25">
      <c r="B81" s="397"/>
      <c r="C81" s="397"/>
      <c r="D81" s="397"/>
      <c r="E81" s="397"/>
      <c r="F81" s="397"/>
      <c r="G81" s="397"/>
      <c r="H81" s="397"/>
    </row>
    <row r="82" spans="2:8" x14ac:dyDescent="0.25">
      <c r="B82" s="397"/>
      <c r="C82" s="397"/>
      <c r="D82" s="397"/>
      <c r="E82" s="397"/>
      <c r="F82" s="397"/>
      <c r="G82" s="397"/>
      <c r="H82" s="397"/>
    </row>
    <row r="83" spans="2:8" x14ac:dyDescent="0.25">
      <c r="B83" s="397"/>
      <c r="C83" s="397"/>
      <c r="D83" s="397"/>
      <c r="E83" s="397"/>
      <c r="F83" s="397"/>
      <c r="G83" s="397"/>
      <c r="H83" s="397"/>
    </row>
    <row r="84" spans="2:8" x14ac:dyDescent="0.25">
      <c r="B84" s="397"/>
      <c r="C84" s="397"/>
      <c r="D84" s="397"/>
      <c r="E84" s="397"/>
      <c r="F84" s="397"/>
      <c r="G84" s="397"/>
      <c r="H84" s="397"/>
    </row>
    <row r="85" spans="2:8" x14ac:dyDescent="0.25">
      <c r="B85" s="397"/>
      <c r="C85" s="397"/>
      <c r="D85" s="397"/>
      <c r="E85" s="397"/>
      <c r="F85" s="397"/>
      <c r="G85" s="397"/>
      <c r="H85" s="397"/>
    </row>
    <row r="86" spans="2:8" x14ac:dyDescent="0.25">
      <c r="B86" s="397"/>
      <c r="C86" s="397"/>
      <c r="D86" s="397"/>
      <c r="E86" s="397"/>
      <c r="F86" s="397"/>
      <c r="G86" s="397"/>
      <c r="H86" s="397"/>
    </row>
    <row r="87" spans="2:8" x14ac:dyDescent="0.25">
      <c r="B87" s="397"/>
      <c r="C87" s="397"/>
      <c r="D87" s="397"/>
      <c r="E87" s="397"/>
      <c r="F87" s="397"/>
      <c r="G87" s="397"/>
      <c r="H87" s="397"/>
    </row>
    <row r="88" spans="2:8" x14ac:dyDescent="0.25">
      <c r="B88" s="397"/>
      <c r="C88" s="397"/>
      <c r="D88" s="397"/>
      <c r="E88" s="397"/>
      <c r="F88" s="397"/>
      <c r="G88" s="397"/>
      <c r="H88" s="397"/>
    </row>
    <row r="89" spans="2:8" x14ac:dyDescent="0.25">
      <c r="B89" s="397"/>
      <c r="C89" s="397"/>
      <c r="D89" s="397"/>
      <c r="E89" s="397"/>
      <c r="F89" s="397"/>
      <c r="G89" s="397"/>
      <c r="H89" s="397"/>
    </row>
    <row r="90" spans="2:8" x14ac:dyDescent="0.25">
      <c r="B90" s="397"/>
      <c r="C90" s="397"/>
      <c r="D90" s="397"/>
      <c r="E90" s="397"/>
      <c r="F90" s="397"/>
      <c r="G90" s="397"/>
      <c r="H90" s="397"/>
    </row>
    <row r="91" spans="2:8" x14ac:dyDescent="0.25">
      <c r="B91" s="397"/>
      <c r="C91" s="397"/>
      <c r="D91" s="397"/>
      <c r="E91" s="397"/>
      <c r="F91" s="397"/>
      <c r="G91" s="397"/>
      <c r="H91" s="397"/>
    </row>
    <row r="92" spans="2:8" x14ac:dyDescent="0.25">
      <c r="B92" s="397"/>
      <c r="C92" s="397"/>
      <c r="D92" s="397"/>
      <c r="E92" s="397"/>
      <c r="F92" s="397"/>
      <c r="G92" s="397"/>
      <c r="H92" s="397"/>
    </row>
    <row r="93" spans="2:8" x14ac:dyDescent="0.25">
      <c r="B93" s="397"/>
      <c r="C93" s="397"/>
      <c r="D93" s="397"/>
      <c r="E93" s="397"/>
      <c r="F93" s="397"/>
      <c r="G93" s="397"/>
      <c r="H93" s="397"/>
    </row>
    <row r="94" spans="2:8" x14ac:dyDescent="0.25">
      <c r="B94" s="397"/>
      <c r="C94" s="397"/>
      <c r="D94" s="397"/>
      <c r="E94" s="397"/>
      <c r="F94" s="397"/>
      <c r="G94" s="397"/>
      <c r="H94" s="397"/>
    </row>
    <row r="95" spans="2:8" x14ac:dyDescent="0.25">
      <c r="B95" s="397"/>
      <c r="C95" s="397"/>
      <c r="D95" s="397"/>
      <c r="E95" s="397"/>
      <c r="F95" s="397"/>
      <c r="G95" s="397"/>
      <c r="H95" s="397"/>
    </row>
    <row r="96" spans="2:8" x14ac:dyDescent="0.25">
      <c r="B96" s="397"/>
      <c r="C96" s="397"/>
      <c r="D96" s="397"/>
      <c r="E96" s="397"/>
      <c r="F96" s="397"/>
      <c r="G96" s="397"/>
      <c r="H96" s="397"/>
    </row>
    <row r="97" spans="2:8" x14ac:dyDescent="0.25">
      <c r="B97" s="397"/>
      <c r="C97" s="397"/>
      <c r="D97" s="397"/>
      <c r="E97" s="397"/>
      <c r="F97" s="397"/>
      <c r="G97" s="397"/>
      <c r="H97" s="397"/>
    </row>
    <row r="98" spans="2:8" x14ac:dyDescent="0.25">
      <c r="B98" s="397"/>
      <c r="C98" s="397"/>
      <c r="D98" s="397"/>
      <c r="E98" s="397"/>
      <c r="F98" s="397"/>
      <c r="G98" s="397"/>
      <c r="H98" s="397"/>
    </row>
    <row r="99" spans="2:8" x14ac:dyDescent="0.25">
      <c r="B99" s="397"/>
      <c r="C99" s="397"/>
      <c r="D99" s="397"/>
      <c r="E99" s="397"/>
      <c r="F99" s="397"/>
      <c r="G99" s="397"/>
      <c r="H99" s="397"/>
    </row>
    <row r="100" spans="2:8" x14ac:dyDescent="0.25">
      <c r="B100" s="397"/>
      <c r="C100" s="397"/>
      <c r="D100" s="397"/>
      <c r="E100" s="397"/>
      <c r="F100" s="397"/>
      <c r="G100" s="397"/>
      <c r="H100" s="397"/>
    </row>
    <row r="101" spans="2:8" x14ac:dyDescent="0.25">
      <c r="B101" s="397"/>
      <c r="C101" s="397"/>
      <c r="D101" s="397"/>
      <c r="E101" s="397"/>
      <c r="F101" s="397"/>
      <c r="G101" s="397"/>
      <c r="H101" s="397"/>
    </row>
    <row r="102" spans="2:8" x14ac:dyDescent="0.25">
      <c r="B102" s="397"/>
      <c r="C102" s="397"/>
      <c r="D102" s="397"/>
      <c r="E102" s="397"/>
      <c r="F102" s="397"/>
      <c r="G102" s="397"/>
      <c r="H102" s="397"/>
    </row>
    <row r="103" spans="2:8" x14ac:dyDescent="0.25">
      <c r="B103" s="397"/>
      <c r="C103" s="397"/>
      <c r="D103" s="397"/>
      <c r="E103" s="397"/>
      <c r="F103" s="397"/>
      <c r="G103" s="397"/>
      <c r="H103" s="397"/>
    </row>
    <row r="104" spans="2:8" x14ac:dyDescent="0.25">
      <c r="B104" s="397"/>
      <c r="C104" s="397"/>
      <c r="D104" s="397"/>
      <c r="E104" s="397"/>
      <c r="F104" s="397"/>
      <c r="G104" s="397"/>
      <c r="H104" s="397"/>
    </row>
    <row r="105" spans="2:8" x14ac:dyDescent="0.25">
      <c r="B105" s="397"/>
      <c r="C105" s="397"/>
      <c r="D105" s="397"/>
      <c r="E105" s="397"/>
      <c r="F105" s="397"/>
      <c r="G105" s="397"/>
      <c r="H105" s="397"/>
    </row>
    <row r="106" spans="2:8" x14ac:dyDescent="0.25">
      <c r="B106" s="397"/>
      <c r="C106" s="397"/>
      <c r="D106" s="397"/>
      <c r="E106" s="397"/>
      <c r="F106" s="397"/>
      <c r="G106" s="397"/>
      <c r="H106" s="397"/>
    </row>
    <row r="107" spans="2:8" x14ac:dyDescent="0.25">
      <c r="B107" s="397"/>
      <c r="C107" s="397"/>
      <c r="D107" s="397"/>
      <c r="E107" s="397"/>
      <c r="F107" s="397"/>
      <c r="G107" s="397"/>
      <c r="H107" s="397"/>
    </row>
    <row r="108" spans="2:8" x14ac:dyDescent="0.25">
      <c r="B108" s="397"/>
      <c r="C108" s="397"/>
      <c r="D108" s="397"/>
      <c r="E108" s="397"/>
      <c r="F108" s="397"/>
      <c r="G108" s="397"/>
      <c r="H108" s="397"/>
    </row>
    <row r="109" spans="2:8" x14ac:dyDescent="0.25">
      <c r="B109" s="397"/>
      <c r="C109" s="397"/>
      <c r="D109" s="397"/>
      <c r="E109" s="397"/>
      <c r="F109" s="397"/>
      <c r="G109" s="397"/>
      <c r="H109" s="397"/>
    </row>
    <row r="110" spans="2:8" x14ac:dyDescent="0.25">
      <c r="B110" s="397"/>
      <c r="C110" s="397"/>
      <c r="D110" s="397"/>
      <c r="E110" s="397"/>
      <c r="F110" s="397"/>
      <c r="G110" s="397"/>
      <c r="H110" s="397"/>
    </row>
    <row r="111" spans="2:8" x14ac:dyDescent="0.25">
      <c r="B111" s="397"/>
      <c r="C111" s="397"/>
      <c r="D111" s="397"/>
      <c r="E111" s="397"/>
      <c r="F111" s="397"/>
      <c r="G111" s="397"/>
      <c r="H111" s="397"/>
    </row>
  </sheetData>
  <mergeCells count="100">
    <mergeCell ref="B48:H48"/>
    <mergeCell ref="B49:H49"/>
    <mergeCell ref="B40:H40"/>
    <mergeCell ref="B32:H32"/>
    <mergeCell ref="B33:H33"/>
    <mergeCell ref="B38:H38"/>
    <mergeCell ref="B41:H41"/>
    <mergeCell ref="B43:H43"/>
    <mergeCell ref="B47:H47"/>
    <mergeCell ref="B34:H34"/>
    <mergeCell ref="B35:H35"/>
    <mergeCell ref="B36:H36"/>
    <mergeCell ref="B37:H37"/>
    <mergeCell ref="B20:H20"/>
    <mergeCell ref="B22:H22"/>
    <mergeCell ref="B23:H23"/>
    <mergeCell ref="B21:H21"/>
    <mergeCell ref="B30:H30"/>
    <mergeCell ref="B8:I8"/>
    <mergeCell ref="A2:B2"/>
    <mergeCell ref="B5:D5"/>
    <mergeCell ref="B6:D6"/>
    <mergeCell ref="F5:L5"/>
    <mergeCell ref="F6:L6"/>
    <mergeCell ref="A4:L4"/>
    <mergeCell ref="B74:H74"/>
    <mergeCell ref="B24:H24"/>
    <mergeCell ref="B27:H27"/>
    <mergeCell ref="B25:H25"/>
    <mergeCell ref="B26:H26"/>
    <mergeCell ref="B42:H42"/>
    <mergeCell ref="B44:H44"/>
    <mergeCell ref="B45:H45"/>
    <mergeCell ref="B46:H46"/>
    <mergeCell ref="B28:H28"/>
    <mergeCell ref="B29:H29"/>
    <mergeCell ref="B31:H31"/>
    <mergeCell ref="B64:H64"/>
    <mergeCell ref="B56:H56"/>
    <mergeCell ref="B52:H52"/>
    <mergeCell ref="B39:H39"/>
    <mergeCell ref="B75:H75"/>
    <mergeCell ref="B76:H76"/>
    <mergeCell ref="B77:H77"/>
    <mergeCell ref="B59:H59"/>
    <mergeCell ref="B69:H69"/>
    <mergeCell ref="B70:H70"/>
    <mergeCell ref="B71:H71"/>
    <mergeCell ref="B72:H72"/>
    <mergeCell ref="B67:H67"/>
    <mergeCell ref="B68:H68"/>
    <mergeCell ref="B60:H60"/>
    <mergeCell ref="B61:H61"/>
    <mergeCell ref="B62:H62"/>
    <mergeCell ref="B65:H65"/>
    <mergeCell ref="B66:H66"/>
    <mergeCell ref="B63:H63"/>
    <mergeCell ref="B111:H111"/>
    <mergeCell ref="B104:H104"/>
    <mergeCell ref="B105:H105"/>
    <mergeCell ref="B106:H106"/>
    <mergeCell ref="B107:H107"/>
    <mergeCell ref="B108:H108"/>
    <mergeCell ref="B97:H97"/>
    <mergeCell ref="B102:H102"/>
    <mergeCell ref="B103:H103"/>
    <mergeCell ref="B109:H109"/>
    <mergeCell ref="B110:H110"/>
    <mergeCell ref="B73:H73"/>
    <mergeCell ref="B100:H100"/>
    <mergeCell ref="B101:H101"/>
    <mergeCell ref="B85:H85"/>
    <mergeCell ref="B86:H86"/>
    <mergeCell ref="B87:H87"/>
    <mergeCell ref="B88:H88"/>
    <mergeCell ref="B89:H89"/>
    <mergeCell ref="B90:H90"/>
    <mergeCell ref="B91:H91"/>
    <mergeCell ref="B92:H92"/>
    <mergeCell ref="B98:H98"/>
    <mergeCell ref="B99:H99"/>
    <mergeCell ref="B94:H94"/>
    <mergeCell ref="B95:H95"/>
    <mergeCell ref="B96:H96"/>
    <mergeCell ref="B9:H19"/>
    <mergeCell ref="B93:H93"/>
    <mergeCell ref="B83:H83"/>
    <mergeCell ref="B84:H84"/>
    <mergeCell ref="B50:H50"/>
    <mergeCell ref="B51:H51"/>
    <mergeCell ref="B53:H53"/>
    <mergeCell ref="B54:H54"/>
    <mergeCell ref="B55:H55"/>
    <mergeCell ref="B58:H58"/>
    <mergeCell ref="B57:H57"/>
    <mergeCell ref="B78:H78"/>
    <mergeCell ref="B79:H79"/>
    <mergeCell ref="B80:H80"/>
    <mergeCell ref="B81:H81"/>
    <mergeCell ref="B82:H8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Oct - 2024</vt:lpstr>
      <vt:lpstr>TIme Data</vt:lpstr>
      <vt:lpstr>July -2024</vt:lpstr>
      <vt:lpstr>June 2024</vt:lpstr>
      <vt:lpstr>May 2024</vt:lpstr>
      <vt:lpstr>April 2024</vt:lpstr>
      <vt:lpstr>March 2024</vt:lpstr>
      <vt:lpstr>Feb - 2024</vt:lpstr>
      <vt:lpstr>Jan - 2024</vt:lpstr>
      <vt:lpstr>Dec - 2023</vt:lpstr>
      <vt:lpstr>Nov 2023</vt:lpstr>
      <vt:lpstr>Oct - 2023</vt:lpstr>
      <vt:lpstr>Sept - 2023</vt:lpstr>
      <vt:lpstr>August - 2023</vt:lpstr>
      <vt:lpstr>July - 2023</vt:lpstr>
      <vt:lpstr>June - 2023</vt:lpstr>
      <vt:lpstr>May - 2023</vt:lpstr>
      <vt:lpstr>April - 2023</vt:lpstr>
      <vt:lpstr>March - 2023</vt:lpstr>
      <vt:lpstr>Feb -2023</vt:lpstr>
      <vt:lpstr>Jan-2023</vt:lpstr>
      <vt:lpstr>Dec -2022</vt:lpstr>
      <vt:lpstr>Nov -2022</vt:lpstr>
      <vt:lpstr>Oct- 2022</vt:lpstr>
      <vt:lpstr>Sept - 2022</vt:lpstr>
      <vt:lpstr>August-2022</vt:lpstr>
      <vt:lpstr>July-2022</vt:lpstr>
      <vt:lpstr>June-2022</vt:lpstr>
      <vt:lpstr>Sheet1</vt:lpstr>
      <vt:lpstr>May-2022</vt:lpstr>
      <vt:lpstr>April-2022</vt:lpstr>
      <vt:lpstr>March-2022</vt:lpstr>
      <vt:lpstr>Feb-2022</vt:lpstr>
      <vt:lpstr>Jan-2022</vt:lpstr>
      <vt:lpstr>Dec-2021</vt:lpstr>
      <vt:lpstr>Nov_2021</vt:lpstr>
      <vt:lpstr>Oct 2021</vt:lpstr>
      <vt:lpstr>Sep 2021</vt:lpstr>
      <vt:lpstr>Aug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Narendra</cp:lastModifiedBy>
  <cp:lastPrinted>2021-10-18T16:35:43Z</cp:lastPrinted>
  <dcterms:created xsi:type="dcterms:W3CDTF">2019-06-11T10:51:31Z</dcterms:created>
  <dcterms:modified xsi:type="dcterms:W3CDTF">2025-01-28T05:56:49Z</dcterms:modified>
</cp:coreProperties>
</file>